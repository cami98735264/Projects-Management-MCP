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unciado" sheetId="1" r:id="rId1"/>
    <sheet name="Datos" sheetId="2" r:id="rId2"/>
    <sheet name="CPM" sheetId="3" r:id="rId3"/>
    <sheet name="Red AON" sheetId="4" r:id="rId4"/>
    <sheet name="Compresión" sheetId="5" r:id="rId5"/>
    <sheet name="Resultados" sheetId="6" r:id="rId6"/>
  </sheets>
  <calcPr calcId="124519" fullCalcOnLoad="1"/>
</workbook>
</file>

<file path=xl/sharedStrings.xml><?xml version="1.0" encoding="utf-8"?>
<sst xmlns="http://schemas.openxmlformats.org/spreadsheetml/2006/main" count="266" uniqueCount="133">
  <si>
    <t>Datos de las actividades</t>
  </si>
  <si>
    <t>Unidad de tiempo: semanas · Método: CPM (duraciones determinísticas)</t>
  </si>
  <si>
    <t>Actividad</t>
  </si>
  <si>
    <t>Descripción</t>
  </si>
  <si>
    <t>Predecesoras</t>
  </si>
  <si>
    <t>Ficticia</t>
  </si>
  <si>
    <t>Duración (semanas)</t>
  </si>
  <si>
    <t>Duración mínima</t>
  </si>
  <si>
    <t>Costo normal</t>
  </si>
  <si>
    <t>Costo mínimo</t>
  </si>
  <si>
    <t>Procedencia</t>
  </si>
  <si>
    <t>A</t>
  </si>
  <si>
    <t/>
  </si>
  <si>
    <t>Ninguna</t>
  </si>
  <si>
    <t>No</t>
  </si>
  <si>
    <t>Dado por el usuario</t>
  </si>
  <si>
    <t>B</t>
  </si>
  <si>
    <t>C</t>
  </si>
  <si>
    <t>D</t>
  </si>
  <si>
    <t>E</t>
  </si>
  <si>
    <t>F</t>
  </si>
  <si>
    <t>B, D, E</t>
  </si>
  <si>
    <t>G</t>
  </si>
  <si>
    <t>Método de la ruta crítica (CPM) — duraciones determinísticas</t>
  </si>
  <si>
    <t>Duración mínima del proyecto (semanas)</t>
  </si>
  <si>
    <t>Ruta crítica</t>
  </si>
  <si>
    <t>C – E – F</t>
  </si>
  <si>
    <t>Sucesoras</t>
  </si>
  <si>
    <t>Inicio más temprano (IC)</t>
  </si>
  <si>
    <t>Terminación más temprana (TC)</t>
  </si>
  <si>
    <t>Inicio más tardío (IL)</t>
  </si>
  <si>
    <t>Terminación más tardía (TL)</t>
  </si>
  <si>
    <t>Holgura (IL − IC)</t>
  </si>
  <si>
    <t>Holgura (TL − TC)</t>
  </si>
  <si>
    <t>Holgura libre</t>
  </si>
  <si>
    <t>¿Crítica?</t>
  </si>
  <si>
    <t>—</t>
  </si>
  <si>
    <t>E, G</t>
  </si>
  <si>
    <t>Holgura = IL − IC = TL − TC; actividades con holgura 0 = ruta crítica. IC = máx(TC de predecesoras); TL = mín(IL de sucesoras).</t>
  </si>
  <si>
    <t>Red ACTIVIDAD - NODO (método de Bernard Roy)</t>
  </si>
  <si>
    <t>Simbología del nodo</t>
  </si>
  <si>
    <t>Act.</t>
  </si>
  <si>
    <t>t</t>
  </si>
  <si>
    <t>Nombre de la actividad  |  Duración de la actividad</t>
  </si>
  <si>
    <t>IC</t>
  </si>
  <si>
    <t>TC</t>
  </si>
  <si>
    <t>Tpo. de inicio más temprano  |  Tpo. de finalización más temprano</t>
  </si>
  <si>
    <t>IL</t>
  </si>
  <si>
    <t>TL</t>
  </si>
  <si>
    <t>Tiempo de inicio más tarde  |  Tiempo de finalización más tarde</t>
  </si>
  <si>
    <t>Holgura</t>
  </si>
  <si>
    <t>Diagrama generado por el motor (nodos grises y flechas dobles = ruta crítica).</t>
  </si>
  <si>
    <t>Nodos con los tiempos calculados</t>
  </si>
  <si>
    <t>Precedencias (arcos de la red)</t>
  </si>
  <si>
    <t>Desde</t>
  </si>
  <si>
    <t>Hacia</t>
  </si>
  <si>
    <t>¿Arco crítico?</t>
  </si>
  <si>
    <t>Sí</t>
  </si>
  <si>
    <t>CPM — compresión del proyecto al menor costo directo</t>
  </si>
  <si>
    <t>Pendiente costo-tiempo = (Cc − Cn) / (Dn − Dc)</t>
  </si>
  <si>
    <t>Duración (Dn)</t>
  </si>
  <si>
    <t>Costo normal (Cn)</t>
  </si>
  <si>
    <t>Duración mínima (Dc)</t>
  </si>
  <si>
    <t>Costo mínimo (Cc)</t>
  </si>
  <si>
    <t>Pendiente</t>
  </si>
  <si>
    <t>Reducción máxima</t>
  </si>
  <si>
    <t>Costo directo total a duración normal</t>
  </si>
  <si>
    <t>Procedimiento: reducir 1 unidad por paso la(s) actividad(es) crítica(s) de menor pendiente</t>
  </si>
  <si>
    <t>Paso</t>
  </si>
  <si>
    <t>Costos directos</t>
  </si>
  <si>
    <t>Rutas críticas</t>
  </si>
  <si>
    <t>Actividades a reducir</t>
  </si>
  <si>
    <t>Reducción</t>
  </si>
  <si>
    <t>Incremento de costo</t>
  </si>
  <si>
    <t>C-E-F</t>
  </si>
  <si>
    <t>C-E-F; C-G</t>
  </si>
  <si>
    <t>F, G</t>
  </si>
  <si>
    <t>B-F; C-E-F; C-G</t>
  </si>
  <si>
    <t>Motivo de parada: La ruta crítica C-E-F ya no tiene actividades reducibles: el proyecto llegó a su mínima reducción.</t>
  </si>
  <si>
    <t>Tabla resumen</t>
  </si>
  <si>
    <t>Costos indirectos</t>
  </si>
  <si>
    <t>Costos totales</t>
  </si>
  <si>
    <t>Duración de costo total mínimo</t>
  </si>
  <si>
    <t>Costo total mínimo (verificación)</t>
  </si>
  <si>
    <t>Resultados finales</t>
  </si>
  <si>
    <t>Compresión CPM — Problema 2</t>
  </si>
  <si>
    <t>Parte</t>
  </si>
  <si>
    <t>Pregunta</t>
  </si>
  <si>
    <t>Respuesta</t>
  </si>
  <si>
    <t>Valor clave (vinculado)</t>
  </si>
  <si>
    <t>1</t>
  </si>
  <si>
    <t>Red actividad-nodo</t>
  </si>
  <si>
    <t>Red actividad-nodo en la hoja 'Red AON' con la simbología de nodo de seis casillas.</t>
  </si>
  <si>
    <t>2</t>
  </si>
  <si>
    <t>Ruta crítica: C – E – F.</t>
  </si>
  <si>
    <t>3</t>
  </si>
  <si>
    <t>Compresión del proyecto</t>
  </si>
  <si>
    <t>Duración normal 13 semanas con costo directo 5100; se puede reducir hasta 9 semanas con costo directo 6400. Duración de costo total mínimo: 11 semanas (costo total 11600).</t>
  </si>
  <si>
    <t>Procedencia de los datos</t>
  </si>
  <si>
    <t>Actividades</t>
  </si>
  <si>
    <t>Campo</t>
  </si>
  <si>
    <t>Supuestos e inferencias</t>
  </si>
  <si>
    <t>Valor</t>
  </si>
  <si>
    <t>Justificación</t>
  </si>
  <si>
    <t>calculation_method</t>
  </si>
  <si>
    <t>CPM</t>
  </si>
  <si>
    <t>Every activity has a single deterministic duration and no three-point estimates.</t>
  </si>
  <si>
    <t>Inferido</t>
  </si>
  <si>
    <t>Validación independiente de los cálculos</t>
  </si>
  <si>
    <t>Verificación</t>
  </si>
  <si>
    <t>¿Correcta?</t>
  </si>
  <si>
    <t>Detalle</t>
  </si>
  <si>
    <t>network arcs match the activity predecessor lists</t>
  </si>
  <si>
    <t>ok</t>
  </si>
  <si>
    <t>schedule: durations match their source</t>
  </si>
  <si>
    <t>schedule: EF−ES = LF−LS = duration and LS−ES = LF−EF</t>
  </si>
  <si>
    <t>schedule: every precedence respected</t>
  </si>
  <si>
    <t>schedule: project duration = longest path (independent relaxation)</t>
  </si>
  <si>
    <t>schedule: each critical path sums to the project duration</t>
  </si>
  <si>
    <t>Gantt bars match ES→EF / LS→LF and critical flags</t>
  </si>
  <si>
    <t>crashing states re-scheduled and re-costed</t>
  </si>
  <si>
    <t>Enunciado y datos de entrada</t>
  </si>
  <si>
    <t>Fuente</t>
  </si>
  <si>
    <t>CONCEPTOS GENERALES — hoja Problema 2 CPM</t>
  </si>
  <si>
    <t>Unidad de tiempo</t>
  </si>
  <si>
    <t>semanas</t>
  </si>
  <si>
    <t>Método</t>
  </si>
  <si>
    <t>CPM (duraciones determinísticas)</t>
  </si>
  <si>
    <t>options</t>
  </si>
  <si>
    <t>probability_method=exact; variance_strategy=max_variance_path</t>
  </si>
  <si>
    <t>Salidas solicitadas</t>
  </si>
  <si>
    <t>Red actividad-nodo, Ruta crítica, Compresión del proyecto</t>
  </si>
  <si>
    <t>Tabla completa de actividades y procedencia de cada dato: hoja 'Datos'.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</si>
</sst>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</font>
      <fill>
        <patternFill>
          <bgColor rgb="FFBFBFB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9</xdr:row>
      <xdr:rowOff>0</xdr:rowOff>
    </xdr:from>
    <xdr:to>
      <xdr:col>12</xdr:col>
      <xdr:colOff>102882</xdr:colOff>
      <xdr:row>32</xdr:row>
      <xdr:rowOff>172221</xdr:rowOff>
    </xdr:to>
    <xdr:pic>
      <xdr:nvPicPr>
        <xdr:cNvPr id="2" name="Picture 1" descr="red_aon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714500"/>
          <a:ext cx="5989332" cy="455372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cols>
    <col min="1" max="1" width="22.7109375" customWidth="1"/>
    <col min="2" max="2" width="60.7109375" customWidth="1"/>
    <col min="3" max="5" width="12.7109375" customWidth="1"/>
    <col min="6" max="7" width="40.7109375" customWidth="1"/>
  </cols>
  <sheetData>
    <row r="1" spans="1:4">
      <c r="A1" s="1" t="s">
        <v>85</v>
      </c>
    </row>
    <row r="2" spans="1:4">
      <c r="A2" s="2" t="s">
        <v>121</v>
      </c>
    </row>
    <row r="4" spans="1:4">
      <c r="A4" s="3" t="s">
        <v>122</v>
      </c>
      <c r="B4" s="4" t="s">
        <v>123</v>
      </c>
    </row>
    <row r="5" spans="1:4">
      <c r="A5" s="3" t="s">
        <v>124</v>
      </c>
      <c r="B5" s="4" t="s">
        <v>125</v>
      </c>
    </row>
    <row r="6" spans="1:4">
      <c r="A6" s="3" t="s">
        <v>126</v>
      </c>
      <c r="B6" s="4" t="s">
        <v>127</v>
      </c>
    </row>
    <row r="7" spans="1:4">
      <c r="A7" s="3" t="s">
        <v>128</v>
      </c>
      <c r="B7" s="4" t="s">
        <v>129</v>
      </c>
    </row>
    <row r="9" spans="1:4">
      <c r="A9" s="3" t="s">
        <v>130</v>
      </c>
      <c r="B9" s="4" t="s">
        <v>131</v>
      </c>
    </row>
    <row r="11" spans="1:4">
      <c r="A11" s="3" t="s">
        <v>101</v>
      </c>
    </row>
    <row r="12" spans="1:4">
      <c r="A12" s="5" t="s">
        <v>100</v>
      </c>
      <c r="B12" s="5" t="s">
        <v>102</v>
      </c>
      <c r="C12" s="5" t="s">
        <v>103</v>
      </c>
      <c r="D12" s="5" t="s">
        <v>10</v>
      </c>
    </row>
    <row r="13" spans="1:4">
      <c r="A13" s="6" t="s">
        <v>104</v>
      </c>
      <c r="B13" s="6" t="s">
        <v>105</v>
      </c>
      <c r="C13" s="6" t="s">
        <v>106</v>
      </c>
      <c r="D13" s="6" t="s">
        <v>107</v>
      </c>
    </row>
    <row r="15" spans="1:4">
      <c r="A15" s="2" t="s">
        <v>132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1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RowHeight="15"/>
  <cols>
    <col min="1" max="1" width="10.7109375" customWidth="1"/>
    <col min="2" max="3" width="18.7109375" customWidth="1"/>
    <col min="4" max="8" width="13.7109375" customWidth="1"/>
    <col min="9" max="9" width="42.7109375" customWidth="1"/>
  </cols>
  <sheetData>
    <row r="1" spans="1:9">
      <c r="A1" s="1" t="s">
        <v>0</v>
      </c>
    </row>
    <row r="2" spans="1:9">
      <c r="A2" s="2" t="s">
        <v>1</v>
      </c>
    </row>
    <row r="4" spans="1:9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</row>
    <row r="5" spans="1:9">
      <c r="A5" s="7" t="s">
        <v>11</v>
      </c>
      <c r="B5" s="6" t="s">
        <v>12</v>
      </c>
      <c r="C5" s="6" t="s">
        <v>13</v>
      </c>
      <c r="D5" s="7" t="s">
        <v>14</v>
      </c>
      <c r="E5" s="8">
        <v>2</v>
      </c>
      <c r="F5" s="8">
        <v>1</v>
      </c>
      <c r="G5" s="8">
        <v>500</v>
      </c>
      <c r="H5" s="8">
        <v>800</v>
      </c>
      <c r="I5" s="6" t="s">
        <v>15</v>
      </c>
    </row>
    <row r="6" spans="1:9">
      <c r="A6" s="7" t="s">
        <v>16</v>
      </c>
      <c r="B6" s="6" t="s">
        <v>12</v>
      </c>
      <c r="C6" s="6" t="s">
        <v>13</v>
      </c>
      <c r="D6" s="7" t="s">
        <v>14</v>
      </c>
      <c r="E6" s="8">
        <v>5</v>
      </c>
      <c r="F6" s="8">
        <v>3</v>
      </c>
      <c r="G6" s="8">
        <v>900</v>
      </c>
      <c r="H6" s="8">
        <v>1300</v>
      </c>
      <c r="I6" s="6" t="s">
        <v>15</v>
      </c>
    </row>
    <row r="7" spans="1:9">
      <c r="A7" s="7" t="s">
        <v>17</v>
      </c>
      <c r="B7" s="6" t="s">
        <v>12</v>
      </c>
      <c r="C7" s="6" t="s">
        <v>13</v>
      </c>
      <c r="D7" s="7" t="s">
        <v>14</v>
      </c>
      <c r="E7" s="8">
        <v>4</v>
      </c>
      <c r="F7" s="8">
        <v>3</v>
      </c>
      <c r="G7" s="8">
        <v>800</v>
      </c>
      <c r="H7" s="8">
        <v>1000</v>
      </c>
      <c r="I7" s="6" t="s">
        <v>15</v>
      </c>
    </row>
    <row r="8" spans="1:9">
      <c r="A8" s="7" t="s">
        <v>18</v>
      </c>
      <c r="B8" s="6" t="s">
        <v>12</v>
      </c>
      <c r="C8" s="6" t="s">
        <v>11</v>
      </c>
      <c r="D8" s="7" t="s">
        <v>14</v>
      </c>
      <c r="E8" s="8">
        <v>1</v>
      </c>
      <c r="F8" s="8">
        <v>1</v>
      </c>
      <c r="G8" s="8">
        <v>400</v>
      </c>
      <c r="H8" s="8">
        <v>400</v>
      </c>
      <c r="I8" s="6" t="s">
        <v>15</v>
      </c>
    </row>
    <row r="9" spans="1:9">
      <c r="A9" s="7" t="s">
        <v>19</v>
      </c>
      <c r="B9" s="6" t="s">
        <v>12</v>
      </c>
      <c r="C9" s="6" t="s">
        <v>17</v>
      </c>
      <c r="D9" s="7" t="s">
        <v>14</v>
      </c>
      <c r="E9" s="8">
        <v>3</v>
      </c>
      <c r="F9" s="8">
        <v>2</v>
      </c>
      <c r="G9" s="8">
        <v>1200</v>
      </c>
      <c r="H9" s="8">
        <v>1800</v>
      </c>
      <c r="I9" s="6" t="s">
        <v>15</v>
      </c>
    </row>
    <row r="10" spans="1:9">
      <c r="A10" s="7" t="s">
        <v>20</v>
      </c>
      <c r="B10" s="6" t="s">
        <v>12</v>
      </c>
      <c r="C10" s="6" t="s">
        <v>21</v>
      </c>
      <c r="D10" s="7" t="s">
        <v>14</v>
      </c>
      <c r="E10" s="8">
        <v>6</v>
      </c>
      <c r="F10" s="8">
        <v>4</v>
      </c>
      <c r="G10" s="8">
        <v>700</v>
      </c>
      <c r="H10" s="8">
        <v>900</v>
      </c>
      <c r="I10" s="6" t="s">
        <v>15</v>
      </c>
    </row>
    <row r="11" spans="1:9">
      <c r="A11" s="7" t="s">
        <v>22</v>
      </c>
      <c r="B11" s="6" t="s">
        <v>12</v>
      </c>
      <c r="C11" s="6" t="s">
        <v>17</v>
      </c>
      <c r="D11" s="7" t="s">
        <v>14</v>
      </c>
      <c r="E11" s="8">
        <v>8</v>
      </c>
      <c r="F11" s="8">
        <v>4</v>
      </c>
      <c r="G11" s="8">
        <v>600</v>
      </c>
      <c r="H11" s="8">
        <v>1200</v>
      </c>
      <c r="I11" s="6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5"/>
  <cols>
    <col min="1" max="3" width="12.7109375" customWidth="1"/>
    <col min="4" max="12" width="13.7109375" customWidth="1"/>
  </cols>
  <sheetData>
    <row r="1" spans="1:12">
      <c r="A1" s="1" t="s">
        <v>23</v>
      </c>
    </row>
    <row r="2" spans="1:12">
      <c r="A2" s="3" t="s">
        <v>24</v>
      </c>
      <c r="D2" s="8">
        <f>MAX(F11,F12)</f>
        <v>13</v>
      </c>
    </row>
    <row r="3" spans="1:12">
      <c r="A3" s="3" t="s">
        <v>25</v>
      </c>
      <c r="D3" s="3" t="s">
        <v>26</v>
      </c>
    </row>
    <row r="5" spans="1:12" ht="42" customHeight="1">
      <c r="A5" s="5" t="s">
        <v>2</v>
      </c>
      <c r="B5" s="5" t="s">
        <v>4</v>
      </c>
      <c r="C5" s="5" t="s">
        <v>27</v>
      </c>
      <c r="D5" s="5" t="s">
        <v>6</v>
      </c>
      <c r="E5" s="5" t="s">
        <v>28</v>
      </c>
      <c r="F5" s="5" t="s">
        <v>29</v>
      </c>
      <c r="G5" s="5" t="s">
        <v>30</v>
      </c>
      <c r="H5" s="5" t="s">
        <v>31</v>
      </c>
      <c r="I5" s="5" t="s">
        <v>32</v>
      </c>
      <c r="J5" s="5" t="s">
        <v>33</v>
      </c>
      <c r="K5" s="5" t="s">
        <v>34</v>
      </c>
      <c r="L5" s="5" t="s">
        <v>35</v>
      </c>
    </row>
    <row r="6" spans="1:12">
      <c r="A6" s="7" t="s">
        <v>11</v>
      </c>
      <c r="B6" s="7" t="s">
        <v>36</v>
      </c>
      <c r="C6" s="7" t="s">
        <v>18</v>
      </c>
      <c r="D6" s="8">
        <f>'Datos'!$E$5</f>
        <v>2</v>
      </c>
      <c r="E6" s="8">
        <v>0</v>
      </c>
      <c r="F6" s="8">
        <f>E6+D6</f>
        <v>2</v>
      </c>
      <c r="G6" s="8">
        <f>H6-D6</f>
        <v>4</v>
      </c>
      <c r="H6" s="8">
        <f>MIN(G9)</f>
        <v>6</v>
      </c>
      <c r="I6" s="8">
        <f>ROUND(G6-E6,10)</f>
        <v>4</v>
      </c>
      <c r="J6" s="8">
        <f>ROUND(H6-F6,10)</f>
        <v>4</v>
      </c>
      <c r="K6" s="8">
        <f>ROUND(MIN(E9)-F6,10)</f>
        <v>0</v>
      </c>
      <c r="L6" s="7" t="str">
        <f>IF(ABS(I6)&lt;0.000000001,"Sí","No")</f>
        <v>No</v>
      </c>
    </row>
    <row r="7" spans="1:12">
      <c r="A7" s="7" t="s">
        <v>16</v>
      </c>
      <c r="B7" s="7" t="s">
        <v>36</v>
      </c>
      <c r="C7" s="7" t="s">
        <v>20</v>
      </c>
      <c r="D7" s="8">
        <f>'Datos'!$E$6</f>
        <v>5</v>
      </c>
      <c r="E7" s="8">
        <v>0</v>
      </c>
      <c r="F7" s="8">
        <f>E7+D7</f>
        <v>5</v>
      </c>
      <c r="G7" s="8">
        <f>H7-D7</f>
        <v>2</v>
      </c>
      <c r="H7" s="8">
        <f>MIN(G11)</f>
        <v>7</v>
      </c>
      <c r="I7" s="8">
        <f>ROUND(G7-E7,10)</f>
        <v>2</v>
      </c>
      <c r="J7" s="8">
        <f>ROUND(H7-F7,10)</f>
        <v>2</v>
      </c>
      <c r="K7" s="8">
        <f>ROUND(MIN(E11)-F7,10)</f>
        <v>2</v>
      </c>
      <c r="L7" s="7" t="str">
        <f>IF(ABS(I7)&lt;0.000000001,"Sí","No")</f>
        <v>No</v>
      </c>
    </row>
    <row r="8" spans="1:12">
      <c r="A8" s="7" t="s">
        <v>17</v>
      </c>
      <c r="B8" s="7" t="s">
        <v>36</v>
      </c>
      <c r="C8" s="7" t="s">
        <v>37</v>
      </c>
      <c r="D8" s="8">
        <f>'Datos'!$E$7</f>
        <v>4</v>
      </c>
      <c r="E8" s="8">
        <v>0</v>
      </c>
      <c r="F8" s="8">
        <f>E8+D8</f>
        <v>4</v>
      </c>
      <c r="G8" s="8">
        <f>H8-D8</f>
        <v>0</v>
      </c>
      <c r="H8" s="8">
        <f>MIN(G10,G12)</f>
        <v>4</v>
      </c>
      <c r="I8" s="8">
        <f>ROUND(G8-E8,10)</f>
        <v>0</v>
      </c>
      <c r="J8" s="8">
        <f>ROUND(H8-F8,10)</f>
        <v>0</v>
      </c>
      <c r="K8" s="8">
        <f>ROUND(MIN(E10,E12)-F8,10)</f>
        <v>0</v>
      </c>
      <c r="L8" s="7" t="str">
        <f>IF(ABS(I8)&lt;0.000000001,"Sí","No")</f>
        <v>Sí</v>
      </c>
    </row>
    <row r="9" spans="1:12">
      <c r="A9" s="7" t="s">
        <v>18</v>
      </c>
      <c r="B9" s="7" t="s">
        <v>11</v>
      </c>
      <c r="C9" s="7" t="s">
        <v>20</v>
      </c>
      <c r="D9" s="8">
        <f>'Datos'!$E$8</f>
        <v>1</v>
      </c>
      <c r="E9" s="8">
        <f>MAX(F6)</f>
        <v>2</v>
      </c>
      <c r="F9" s="8">
        <f>E9+D9</f>
        <v>3</v>
      </c>
      <c r="G9" s="8">
        <f>H9-D9</f>
        <v>6</v>
      </c>
      <c r="H9" s="8">
        <f>MIN(G11)</f>
        <v>7</v>
      </c>
      <c r="I9" s="8">
        <f>ROUND(G9-E9,10)</f>
        <v>4</v>
      </c>
      <c r="J9" s="8">
        <f>ROUND(H9-F9,10)</f>
        <v>4</v>
      </c>
      <c r="K9" s="8">
        <f>ROUND(MIN(E11)-F9,10)</f>
        <v>4</v>
      </c>
      <c r="L9" s="7" t="str">
        <f>IF(ABS(I9)&lt;0.000000001,"Sí","No")</f>
        <v>No</v>
      </c>
    </row>
    <row r="10" spans="1:12">
      <c r="A10" s="7" t="s">
        <v>19</v>
      </c>
      <c r="B10" s="7" t="s">
        <v>17</v>
      </c>
      <c r="C10" s="7" t="s">
        <v>20</v>
      </c>
      <c r="D10" s="8">
        <f>'Datos'!$E$9</f>
        <v>3</v>
      </c>
      <c r="E10" s="8">
        <f>MAX(F8)</f>
        <v>4</v>
      </c>
      <c r="F10" s="8">
        <f>E10+D10</f>
        <v>7</v>
      </c>
      <c r="G10" s="8">
        <f>H10-D10</f>
        <v>4</v>
      </c>
      <c r="H10" s="8">
        <f>MIN(G11)</f>
        <v>7</v>
      </c>
      <c r="I10" s="8">
        <f>ROUND(G10-E10,10)</f>
        <v>0</v>
      </c>
      <c r="J10" s="8">
        <f>ROUND(H10-F10,10)</f>
        <v>0</v>
      </c>
      <c r="K10" s="8">
        <f>ROUND(MIN(E11)-F10,10)</f>
        <v>0</v>
      </c>
      <c r="L10" s="7" t="str">
        <f>IF(ABS(I10)&lt;0.000000001,"Sí","No")</f>
        <v>Sí</v>
      </c>
    </row>
    <row r="11" spans="1:12">
      <c r="A11" s="7" t="s">
        <v>20</v>
      </c>
      <c r="B11" s="7" t="s">
        <v>21</v>
      </c>
      <c r="C11" s="7" t="s">
        <v>36</v>
      </c>
      <c r="D11" s="8">
        <f>'Datos'!$E$10</f>
        <v>6</v>
      </c>
      <c r="E11" s="8">
        <f>MAX(F7,F9,F10)</f>
        <v>7</v>
      </c>
      <c r="F11" s="8">
        <f>E11+D11</f>
        <v>13</v>
      </c>
      <c r="G11" s="8">
        <f>H11-D11</f>
        <v>7</v>
      </c>
      <c r="H11" s="8">
        <f>$D$2</f>
        <v>13</v>
      </c>
      <c r="I11" s="8">
        <f>ROUND(G11-E11,10)</f>
        <v>0</v>
      </c>
      <c r="J11" s="8">
        <f>ROUND(H11-F11,10)</f>
        <v>0</v>
      </c>
      <c r="K11" s="8">
        <f>ROUND($D$2-F11,10)</f>
        <v>0</v>
      </c>
      <c r="L11" s="7" t="str">
        <f>IF(ABS(I11)&lt;0.000000001,"Sí","No")</f>
        <v>Sí</v>
      </c>
    </row>
    <row r="12" spans="1:12">
      <c r="A12" s="7" t="s">
        <v>22</v>
      </c>
      <c r="B12" s="7" t="s">
        <v>17</v>
      </c>
      <c r="C12" s="7" t="s">
        <v>36</v>
      </c>
      <c r="D12" s="8">
        <f>'Datos'!$E$11</f>
        <v>8</v>
      </c>
      <c r="E12" s="8">
        <f>MAX(F8)</f>
        <v>4</v>
      </c>
      <c r="F12" s="8">
        <f>E12+D12</f>
        <v>12</v>
      </c>
      <c r="G12" s="8">
        <f>H12-D12</f>
        <v>5</v>
      </c>
      <c r="H12" s="8">
        <f>$D$2</f>
        <v>13</v>
      </c>
      <c r="I12" s="8">
        <f>ROUND(G12-E12,10)</f>
        <v>1</v>
      </c>
      <c r="J12" s="8">
        <f>ROUND(H12-F12,10)</f>
        <v>1</v>
      </c>
      <c r="K12" s="8">
        <f>ROUND($D$2-F12,10)</f>
        <v>1</v>
      </c>
      <c r="L12" s="7" t="str">
        <f>IF(ABS(I12)&lt;0.000000001,"Sí","No")</f>
        <v>No</v>
      </c>
    </row>
    <row r="14" spans="1:12">
      <c r="A14" s="2" t="s">
        <v>38</v>
      </c>
    </row>
  </sheetData>
  <conditionalFormatting sqref="A6:L12">
    <cfRule type="expression" dxfId="0" priority="1">
      <formula>ABS($I6)&lt;0.000000001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sheetFormatPr defaultRowHeight="15"/>
  <cols>
    <col min="2" max="3" width="8.7109375" customWidth="1"/>
    <col min="4" max="4" width="4.7109375" customWidth="1"/>
    <col min="5" max="6" width="8.7109375" customWidth="1"/>
    <col min="7" max="7" width="4.7109375" customWidth="1"/>
    <col min="8" max="9" width="8.7109375" customWidth="1"/>
    <col min="10" max="10" width="4.7109375" customWidth="1"/>
    <col min="12" max="14" width="12.7109375" customWidth="1"/>
  </cols>
  <sheetData>
    <row r="1" spans="1:5">
      <c r="A1" s="1" t="s">
        <v>39</v>
      </c>
    </row>
    <row r="3" spans="1:5">
      <c r="B3" s="3" t="s">
        <v>40</v>
      </c>
    </row>
    <row r="4" spans="1:5">
      <c r="B4" s="9" t="s">
        <v>41</v>
      </c>
      <c r="C4" s="9" t="s">
        <v>42</v>
      </c>
      <c r="E4" s="4" t="s">
        <v>43</v>
      </c>
    </row>
    <row r="5" spans="1:5">
      <c r="B5" s="9" t="s">
        <v>44</v>
      </c>
      <c r="C5" s="9" t="s">
        <v>45</v>
      </c>
      <c r="E5" s="4" t="s">
        <v>46</v>
      </c>
    </row>
    <row r="6" spans="1:5">
      <c r="B6" s="9" t="s">
        <v>47</v>
      </c>
      <c r="C6" s="9" t="s">
        <v>48</v>
      </c>
      <c r="E6" s="4" t="s">
        <v>49</v>
      </c>
    </row>
    <row r="7" spans="1:5">
      <c r="B7" s="9" t="s">
        <v>50</v>
      </c>
      <c r="C7" s="9"/>
      <c r="E7" s="4" t="s">
        <v>50</v>
      </c>
    </row>
    <row r="9" spans="1:5">
      <c r="B9" s="2" t="s">
        <v>51</v>
      </c>
    </row>
    <row r="36" spans="2:14">
      <c r="B36" s="3" t="s">
        <v>52</v>
      </c>
      <c r="L36" s="3" t="s">
        <v>53</v>
      </c>
    </row>
    <row r="37" spans="2:14">
      <c r="B37" s="9" t="s">
        <v>11</v>
      </c>
      <c r="C37" s="8">
        <f>'CPM'!$D$6</f>
        <v>2</v>
      </c>
      <c r="E37" s="9" t="s">
        <v>18</v>
      </c>
      <c r="F37" s="8">
        <f>'CPM'!$D$9</f>
        <v>1</v>
      </c>
      <c r="H37" s="9" t="s">
        <v>20</v>
      </c>
      <c r="I37" s="8">
        <f>'CPM'!$D$11</f>
        <v>6</v>
      </c>
      <c r="L37" s="5" t="s">
        <v>54</v>
      </c>
      <c r="M37" s="5" t="s">
        <v>55</v>
      </c>
      <c r="N37" s="5" t="s">
        <v>56</v>
      </c>
    </row>
    <row r="38" spans="2:14">
      <c r="B38" s="8">
        <f>'CPM'!$E$6</f>
        <v>0</v>
      </c>
      <c r="C38" s="8">
        <f>'CPM'!$F$6</f>
        <v>2</v>
      </c>
      <c r="E38" s="8">
        <f>'CPM'!$E$9</f>
        <v>2</v>
      </c>
      <c r="F38" s="8">
        <f>'CPM'!$F$9</f>
        <v>3</v>
      </c>
      <c r="H38" s="8">
        <f>'CPM'!$E$11</f>
        <v>7</v>
      </c>
      <c r="I38" s="8">
        <f>'CPM'!$F$11</f>
        <v>13</v>
      </c>
      <c r="L38" s="6" t="s">
        <v>11</v>
      </c>
      <c r="M38" s="6" t="s">
        <v>18</v>
      </c>
      <c r="N38" s="6" t="s">
        <v>14</v>
      </c>
    </row>
    <row r="39" spans="2:14">
      <c r="B39" s="8">
        <f>'CPM'!$G$6</f>
        <v>4</v>
      </c>
      <c r="C39" s="8">
        <f>'CPM'!$H$6</f>
        <v>6</v>
      </c>
      <c r="E39" s="8">
        <f>'CPM'!$G$9</f>
        <v>6</v>
      </c>
      <c r="F39" s="8">
        <f>'CPM'!$H$9</f>
        <v>7</v>
      </c>
      <c r="H39" s="8">
        <f>'CPM'!$G$11</f>
        <v>7</v>
      </c>
      <c r="I39" s="8">
        <f>'CPM'!$H$11</f>
        <v>13</v>
      </c>
      <c r="L39" s="6" t="s">
        <v>17</v>
      </c>
      <c r="M39" s="6" t="s">
        <v>19</v>
      </c>
      <c r="N39" s="6" t="s">
        <v>57</v>
      </c>
    </row>
    <row r="40" spans="2:14">
      <c r="B40" s="8">
        <f>'CPM'!$I$6</f>
        <v>4</v>
      </c>
      <c r="C40" s="8"/>
      <c r="E40" s="8">
        <f>'CPM'!$I$9</f>
        <v>4</v>
      </c>
      <c r="F40" s="8"/>
      <c r="H40" s="8">
        <f>'CPM'!$I$11</f>
        <v>0</v>
      </c>
      <c r="I40" s="8"/>
      <c r="L40" s="6" t="s">
        <v>16</v>
      </c>
      <c r="M40" s="6" t="s">
        <v>20</v>
      </c>
      <c r="N40" s="6" t="s">
        <v>14</v>
      </c>
    </row>
    <row r="41" spans="2:14">
      <c r="L41" s="6" t="s">
        <v>18</v>
      </c>
      <c r="M41" s="6" t="s">
        <v>20</v>
      </c>
      <c r="N41" s="6" t="s">
        <v>14</v>
      </c>
    </row>
    <row r="42" spans="2:14">
      <c r="B42" s="9" t="s">
        <v>16</v>
      </c>
      <c r="C42" s="8">
        <f>'CPM'!$D$7</f>
        <v>5</v>
      </c>
      <c r="E42" s="9" t="s">
        <v>19</v>
      </c>
      <c r="F42" s="8">
        <f>'CPM'!$D$10</f>
        <v>3</v>
      </c>
      <c r="L42" s="6" t="s">
        <v>19</v>
      </c>
      <c r="M42" s="6" t="s">
        <v>20</v>
      </c>
      <c r="N42" s="6" t="s">
        <v>57</v>
      </c>
    </row>
    <row r="43" spans="2:14">
      <c r="B43" s="8">
        <f>'CPM'!$E$7</f>
        <v>0</v>
      </c>
      <c r="C43" s="8">
        <f>'CPM'!$F$7</f>
        <v>5</v>
      </c>
      <c r="E43" s="8">
        <f>'CPM'!$E$10</f>
        <v>4</v>
      </c>
      <c r="F43" s="8">
        <f>'CPM'!$F$10</f>
        <v>7</v>
      </c>
      <c r="L43" s="6" t="s">
        <v>17</v>
      </c>
      <c r="M43" s="6" t="s">
        <v>22</v>
      </c>
      <c r="N43" s="6" t="s">
        <v>14</v>
      </c>
    </row>
    <row r="44" spans="2:14">
      <c r="B44" s="8">
        <f>'CPM'!$G$7</f>
        <v>2</v>
      </c>
      <c r="C44" s="8">
        <f>'CPM'!$H$7</f>
        <v>7</v>
      </c>
      <c r="E44" s="8">
        <f>'CPM'!$G$10</f>
        <v>4</v>
      </c>
      <c r="F44" s="8">
        <f>'CPM'!$H$10</f>
        <v>7</v>
      </c>
    </row>
    <row r="45" spans="2:14">
      <c r="B45" s="8">
        <f>'CPM'!$I$7</f>
        <v>2</v>
      </c>
      <c r="C45" s="8"/>
      <c r="E45" s="8">
        <f>'CPM'!$I$10</f>
        <v>0</v>
      </c>
      <c r="F45" s="8"/>
    </row>
    <row r="47" spans="2:14">
      <c r="B47" s="9" t="s">
        <v>17</v>
      </c>
      <c r="C47" s="8">
        <f>'CPM'!$D$8</f>
        <v>4</v>
      </c>
      <c r="E47" s="9" t="s">
        <v>22</v>
      </c>
      <c r="F47" s="8">
        <f>'CPM'!$D$12</f>
        <v>8</v>
      </c>
    </row>
    <row r="48" spans="2:14">
      <c r="B48" s="8">
        <f>'CPM'!$E$8</f>
        <v>0</v>
      </c>
      <c r="C48" s="8">
        <f>'CPM'!$F$8</f>
        <v>4</v>
      </c>
      <c r="E48" s="8">
        <f>'CPM'!$E$12</f>
        <v>4</v>
      </c>
      <c r="F48" s="8">
        <f>'CPM'!$F$12</f>
        <v>12</v>
      </c>
    </row>
    <row r="49" spans="2:6">
      <c r="B49" s="8">
        <f>'CPM'!$G$8</f>
        <v>0</v>
      </c>
      <c r="C49" s="8">
        <f>'CPM'!$H$8</f>
        <v>4</v>
      </c>
      <c r="E49" s="8">
        <f>'CPM'!$G$12</f>
        <v>5</v>
      </c>
      <c r="F49" s="8">
        <f>'CPM'!$H$12</f>
        <v>13</v>
      </c>
    </row>
    <row r="50" spans="2:6">
      <c r="B50" s="8">
        <f>'CPM'!$I$8</f>
        <v>0</v>
      </c>
      <c r="C50" s="8"/>
      <c r="E50" s="8">
        <f>'CPM'!$I$12</f>
        <v>1</v>
      </c>
      <c r="F50" s="8"/>
    </row>
  </sheetData>
  <mergeCells count="8">
    <mergeCell ref="B7:C7"/>
    <mergeCell ref="B40:C40"/>
    <mergeCell ref="B45:C45"/>
    <mergeCell ref="B50:C50"/>
    <mergeCell ref="E40:F40"/>
    <mergeCell ref="E45:F45"/>
    <mergeCell ref="E50:F50"/>
    <mergeCell ref="H40:I40"/>
  </mergeCells>
  <conditionalFormatting sqref="B37:C40">
    <cfRule type="expression" dxfId="0" priority="1">
      <formula>ABS($B$40)&lt;0.000000001</formula>
    </cfRule>
  </conditionalFormatting>
  <conditionalFormatting sqref="B42:C45">
    <cfRule type="expression" dxfId="0" priority="2">
      <formula>ABS($B$45)&lt;0.000000001</formula>
    </cfRule>
  </conditionalFormatting>
  <conditionalFormatting sqref="B47:C50">
    <cfRule type="expression" dxfId="0" priority="3">
      <formula>ABS($B$50)&lt;0.000000001</formula>
    </cfRule>
  </conditionalFormatting>
  <conditionalFormatting sqref="E37:F40">
    <cfRule type="expression" dxfId="0" priority="4">
      <formula>ABS($E$40)&lt;0.000000001</formula>
    </cfRule>
  </conditionalFormatting>
  <conditionalFormatting sqref="E42:F45">
    <cfRule type="expression" dxfId="0" priority="5">
      <formula>ABS($E$45)&lt;0.000000001</formula>
    </cfRule>
  </conditionalFormatting>
  <conditionalFormatting sqref="E47:F50">
    <cfRule type="expression" dxfId="0" priority="6">
      <formula>ABS($E$50)&lt;0.000000001</formula>
    </cfRule>
  </conditionalFormatting>
  <conditionalFormatting sqref="H37:I40">
    <cfRule type="expression" dxfId="0" priority="7">
      <formula>ABS($H$40)&lt;0.000000001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N32"/>
  <sheetViews>
    <sheetView workbookViewId="0"/>
  </sheetViews>
  <sheetFormatPr defaultRowHeight="15"/>
  <cols>
    <col min="1" max="3" width="14.7109375" customWidth="1"/>
    <col min="4" max="4" width="26.7109375" customWidth="1"/>
    <col min="5" max="7" width="14.7109375" customWidth="1"/>
    <col min="8" max="15" width="7.7109375" customWidth="1"/>
  </cols>
  <sheetData>
    <row r="1" spans="1:14">
      <c r="A1" s="1" t="s">
        <v>58</v>
      </c>
    </row>
    <row r="2" spans="1:14">
      <c r="A2" s="3" t="s">
        <v>59</v>
      </c>
    </row>
    <row r="4" spans="1:14">
      <c r="A4" s="5" t="s">
        <v>2</v>
      </c>
      <c r="B4" s="5" t="s">
        <v>4</v>
      </c>
      <c r="C4" s="5" t="s">
        <v>60</v>
      </c>
      <c r="D4" s="5" t="s">
        <v>61</v>
      </c>
      <c r="E4" s="5" t="s">
        <v>62</v>
      </c>
      <c r="F4" s="5" t="s">
        <v>63</v>
      </c>
      <c r="G4" s="5" t="s">
        <v>64</v>
      </c>
      <c r="H4" s="5" t="s">
        <v>65</v>
      </c>
    </row>
    <row r="5" spans="1:14">
      <c r="A5" s="7" t="s">
        <v>11</v>
      </c>
      <c r="B5" s="7" t="s">
        <v>13</v>
      </c>
      <c r="C5" s="8">
        <f>'Datos'!$E$5</f>
        <v>2</v>
      </c>
      <c r="D5" s="8">
        <f>'Datos'!$G$5</f>
        <v>500</v>
      </c>
      <c r="E5" s="8">
        <f>'Datos'!$F$5</f>
        <v>1</v>
      </c>
      <c r="F5" s="8">
        <f>'Datos'!$H$5</f>
        <v>800</v>
      </c>
      <c r="G5" s="8">
        <f>IF(C5=E5,"No tiene",(F5-D5)/(C5-E5))</f>
        <v>300</v>
      </c>
      <c r="H5" s="8">
        <f>C5-E5</f>
        <v>1</v>
      </c>
    </row>
    <row r="6" spans="1:14">
      <c r="A6" s="7" t="s">
        <v>16</v>
      </c>
      <c r="B6" s="7" t="s">
        <v>13</v>
      </c>
      <c r="C6" s="8">
        <f>'Datos'!$E$6</f>
        <v>5</v>
      </c>
      <c r="D6" s="8">
        <f>'Datos'!$G$6</f>
        <v>900</v>
      </c>
      <c r="E6" s="8">
        <f>'Datos'!$F$6</f>
        <v>3</v>
      </c>
      <c r="F6" s="8">
        <f>'Datos'!$H$6</f>
        <v>1300</v>
      </c>
      <c r="G6" s="8">
        <f>IF(C6=E6,"No tiene",(F6-D6)/(C6-E6))</f>
        <v>200</v>
      </c>
      <c r="H6" s="8">
        <f>C6-E6</f>
        <v>2</v>
      </c>
    </row>
    <row r="7" spans="1:14">
      <c r="A7" s="7" t="s">
        <v>17</v>
      </c>
      <c r="B7" s="7" t="s">
        <v>13</v>
      </c>
      <c r="C7" s="8">
        <f>'Datos'!$E$7</f>
        <v>4</v>
      </c>
      <c r="D7" s="8">
        <f>'Datos'!$G$7</f>
        <v>800</v>
      </c>
      <c r="E7" s="8">
        <f>'Datos'!$F$7</f>
        <v>3</v>
      </c>
      <c r="F7" s="8">
        <f>'Datos'!$H$7</f>
        <v>1000</v>
      </c>
      <c r="G7" s="8">
        <f>IF(C7=E7,"No tiene",(F7-D7)/(C7-E7))</f>
        <v>200</v>
      </c>
      <c r="H7" s="8">
        <f>C7-E7</f>
        <v>1</v>
      </c>
    </row>
    <row r="8" spans="1:14">
      <c r="A8" s="7" t="s">
        <v>18</v>
      </c>
      <c r="B8" s="7" t="s">
        <v>11</v>
      </c>
      <c r="C8" s="8">
        <f>'Datos'!$E$8</f>
        <v>1</v>
      </c>
      <c r="D8" s="8">
        <f>'Datos'!$G$8</f>
        <v>400</v>
      </c>
      <c r="E8" s="8">
        <f>'Datos'!$F$8</f>
        <v>1</v>
      </c>
      <c r="F8" s="8">
        <f>'Datos'!$H$8</f>
        <v>400</v>
      </c>
      <c r="G8" s="7" t="str">
        <f>IF(C8=E8,"No tiene",(F8-D8)/(C8-E8))</f>
        <v>No tiene</v>
      </c>
      <c r="H8" s="8">
        <f>C8-E8</f>
        <v>0</v>
      </c>
    </row>
    <row r="9" spans="1:14">
      <c r="A9" s="7" t="s">
        <v>19</v>
      </c>
      <c r="B9" s="7" t="s">
        <v>17</v>
      </c>
      <c r="C9" s="8">
        <f>'Datos'!$E$9</f>
        <v>3</v>
      </c>
      <c r="D9" s="8">
        <f>'Datos'!$G$9</f>
        <v>1200</v>
      </c>
      <c r="E9" s="8">
        <f>'Datos'!$F$9</f>
        <v>2</v>
      </c>
      <c r="F9" s="8">
        <f>'Datos'!$H$9</f>
        <v>1800</v>
      </c>
      <c r="G9" s="8">
        <f>IF(C9=E9,"No tiene",(F9-D9)/(C9-E9))</f>
        <v>600</v>
      </c>
      <c r="H9" s="8">
        <f>C9-E9</f>
        <v>1</v>
      </c>
    </row>
    <row r="10" spans="1:14">
      <c r="A10" s="7" t="s">
        <v>20</v>
      </c>
      <c r="B10" s="7" t="s">
        <v>21</v>
      </c>
      <c r="C10" s="8">
        <f>'Datos'!$E$10</f>
        <v>6</v>
      </c>
      <c r="D10" s="8">
        <f>'Datos'!$G$10</f>
        <v>700</v>
      </c>
      <c r="E10" s="8">
        <f>'Datos'!$F$10</f>
        <v>4</v>
      </c>
      <c r="F10" s="8">
        <f>'Datos'!$H$10</f>
        <v>900</v>
      </c>
      <c r="G10" s="8">
        <f>IF(C10=E10,"No tiene",(F10-D10)/(C10-E10))</f>
        <v>100</v>
      </c>
      <c r="H10" s="8">
        <f>C10-E10</f>
        <v>2</v>
      </c>
    </row>
    <row r="11" spans="1:14">
      <c r="A11" s="7" t="s">
        <v>22</v>
      </c>
      <c r="B11" s="7" t="s">
        <v>17</v>
      </c>
      <c r="C11" s="8">
        <f>'Datos'!$E$11</f>
        <v>8</v>
      </c>
      <c r="D11" s="8">
        <f>'Datos'!$G$11</f>
        <v>600</v>
      </c>
      <c r="E11" s="8">
        <f>'Datos'!$F$11</f>
        <v>4</v>
      </c>
      <c r="F11" s="8">
        <f>'Datos'!$H$11</f>
        <v>1200</v>
      </c>
      <c r="G11" s="8">
        <f>IF(C11=E11,"No tiene",(F11-D11)/(C11-E11))</f>
        <v>150</v>
      </c>
      <c r="H11" s="8">
        <f>C11-E11</f>
        <v>4</v>
      </c>
    </row>
    <row r="12" spans="1:14">
      <c r="A12" s="3" t="s">
        <v>66</v>
      </c>
      <c r="D12" s="8">
        <f>SUM(D5:D11)</f>
        <v>5100</v>
      </c>
    </row>
    <row r="14" spans="1:14">
      <c r="A14" s="3" t="s">
        <v>67</v>
      </c>
    </row>
    <row r="15" spans="1:14">
      <c r="A15" s="5" t="s">
        <v>68</v>
      </c>
      <c r="B15" s="5" t="s">
        <v>6</v>
      </c>
      <c r="C15" s="5" t="s">
        <v>69</v>
      </c>
      <c r="D15" s="5" t="s">
        <v>70</v>
      </c>
      <c r="E15" s="5" t="s">
        <v>71</v>
      </c>
      <c r="F15" s="5" t="s">
        <v>72</v>
      </c>
      <c r="G15" s="5" t="s">
        <v>73</v>
      </c>
      <c r="H15" s="5" t="s">
        <v>11</v>
      </c>
      <c r="I15" s="5" t="s">
        <v>16</v>
      </c>
      <c r="J15" s="5" t="s">
        <v>17</v>
      </c>
      <c r="K15" s="5" t="s">
        <v>18</v>
      </c>
      <c r="L15" s="5" t="s">
        <v>19</v>
      </c>
      <c r="M15" s="5" t="s">
        <v>20</v>
      </c>
      <c r="N15" s="5" t="s">
        <v>22</v>
      </c>
    </row>
    <row r="16" spans="1:14">
      <c r="A16" s="8">
        <v>0</v>
      </c>
      <c r="B16" s="8">
        <v>13</v>
      </c>
      <c r="C16" s="8">
        <f>D12</f>
        <v>5100</v>
      </c>
      <c r="D16" s="6" t="s">
        <v>74</v>
      </c>
      <c r="E16" s="7" t="s">
        <v>20</v>
      </c>
      <c r="F16" s="8">
        <v>1</v>
      </c>
      <c r="G16" s="8">
        <f>(G10)*F16</f>
        <v>100</v>
      </c>
      <c r="H16" s="8">
        <v>2</v>
      </c>
      <c r="I16" s="8">
        <v>5</v>
      </c>
      <c r="J16" s="8">
        <v>4</v>
      </c>
      <c r="K16" s="8">
        <v>1</v>
      </c>
      <c r="L16" s="8">
        <v>3</v>
      </c>
      <c r="M16" s="8">
        <v>6</v>
      </c>
      <c r="N16" s="8">
        <v>8</v>
      </c>
    </row>
    <row r="17" spans="1:14">
      <c r="A17" s="8">
        <v>1</v>
      </c>
      <c r="B17" s="8">
        <v>12</v>
      </c>
      <c r="C17" s="8">
        <f>C16+G16</f>
        <v>5200</v>
      </c>
      <c r="D17" s="6" t="s">
        <v>75</v>
      </c>
      <c r="E17" s="7" t="s">
        <v>17</v>
      </c>
      <c r="F17" s="8">
        <v>1</v>
      </c>
      <c r="G17" s="8">
        <f>(G7)*F17</f>
        <v>200</v>
      </c>
      <c r="H17" s="8">
        <v>2</v>
      </c>
      <c r="I17" s="8">
        <v>5</v>
      </c>
      <c r="J17" s="8">
        <v>4</v>
      </c>
      <c r="K17" s="8">
        <v>1</v>
      </c>
      <c r="L17" s="8">
        <v>3</v>
      </c>
      <c r="M17" s="8">
        <v>5</v>
      </c>
      <c r="N17" s="8">
        <v>8</v>
      </c>
    </row>
    <row r="18" spans="1:14">
      <c r="A18" s="8">
        <v>2</v>
      </c>
      <c r="B18" s="8">
        <v>11</v>
      </c>
      <c r="C18" s="8">
        <f>C17+G17</f>
        <v>5400</v>
      </c>
      <c r="D18" s="6" t="s">
        <v>75</v>
      </c>
      <c r="E18" s="7" t="s">
        <v>76</v>
      </c>
      <c r="F18" s="8">
        <v>1</v>
      </c>
      <c r="G18" s="8">
        <f>(G10+G11)*F18</f>
        <v>250</v>
      </c>
      <c r="H18" s="8">
        <v>2</v>
      </c>
      <c r="I18" s="8">
        <v>5</v>
      </c>
      <c r="J18" s="8">
        <v>3</v>
      </c>
      <c r="K18" s="8">
        <v>1</v>
      </c>
      <c r="L18" s="8">
        <v>3</v>
      </c>
      <c r="M18" s="8">
        <v>5</v>
      </c>
      <c r="N18" s="8">
        <v>8</v>
      </c>
    </row>
    <row r="19" spans="1:14">
      <c r="A19" s="8">
        <v>3</v>
      </c>
      <c r="B19" s="8">
        <v>10</v>
      </c>
      <c r="C19" s="8">
        <f>C18+G18</f>
        <v>5650</v>
      </c>
      <c r="D19" s="6" t="s">
        <v>75</v>
      </c>
      <c r="E19" s="7" t="s">
        <v>37</v>
      </c>
      <c r="F19" s="8">
        <v>1</v>
      </c>
      <c r="G19" s="8">
        <f>(G9+G11)*F19</f>
        <v>750</v>
      </c>
      <c r="H19" s="8">
        <v>2</v>
      </c>
      <c r="I19" s="8">
        <v>5</v>
      </c>
      <c r="J19" s="8">
        <v>3</v>
      </c>
      <c r="K19" s="8">
        <v>1</v>
      </c>
      <c r="L19" s="8">
        <v>3</v>
      </c>
      <c r="M19" s="8">
        <v>4</v>
      </c>
      <c r="N19" s="8">
        <v>7</v>
      </c>
    </row>
    <row r="20" spans="1:14">
      <c r="A20" s="8">
        <v>4</v>
      </c>
      <c r="B20" s="8">
        <v>9</v>
      </c>
      <c r="C20" s="8">
        <f>C19+G19</f>
        <v>6400</v>
      </c>
      <c r="D20" s="6" t="s">
        <v>77</v>
      </c>
      <c r="E20" s="7" t="s">
        <v>36</v>
      </c>
      <c r="H20" s="8">
        <v>2</v>
      </c>
      <c r="I20" s="8">
        <v>5</v>
      </c>
      <c r="J20" s="8">
        <v>3</v>
      </c>
      <c r="K20" s="8">
        <v>1</v>
      </c>
      <c r="L20" s="8">
        <v>2</v>
      </c>
      <c r="M20" s="8">
        <v>4</v>
      </c>
      <c r="N20" s="8">
        <v>6</v>
      </c>
    </row>
    <row r="21" spans="1:14">
      <c r="A21" s="2" t="s">
        <v>78</v>
      </c>
    </row>
    <row r="23" spans="1:14">
      <c r="A23" s="3" t="s">
        <v>79</v>
      </c>
    </row>
    <row r="24" spans="1:14">
      <c r="A24" s="5" t="s">
        <v>6</v>
      </c>
      <c r="B24" s="5" t="s">
        <v>69</v>
      </c>
      <c r="C24" s="5" t="s">
        <v>80</v>
      </c>
      <c r="D24" s="5" t="s">
        <v>81</v>
      </c>
    </row>
    <row r="25" spans="1:14">
      <c r="A25" s="8">
        <v>9</v>
      </c>
      <c r="B25" s="8">
        <f>C20</f>
        <v>6400</v>
      </c>
      <c r="C25" s="8">
        <v>6000</v>
      </c>
      <c r="D25" s="8">
        <f>B25+C25</f>
        <v>12400</v>
      </c>
    </row>
    <row r="26" spans="1:14">
      <c r="A26" s="8">
        <v>10</v>
      </c>
      <c r="B26" s="8">
        <f>C19</f>
        <v>5650</v>
      </c>
      <c r="C26" s="8">
        <v>6150</v>
      </c>
      <c r="D26" s="8">
        <f>B26+C26</f>
        <v>11800</v>
      </c>
    </row>
    <row r="27" spans="1:14">
      <c r="A27" s="8">
        <v>11</v>
      </c>
      <c r="B27" s="8">
        <f>C18</f>
        <v>5400</v>
      </c>
      <c r="C27" s="8">
        <v>6200</v>
      </c>
      <c r="D27" s="8">
        <f>B27+C27</f>
        <v>11600</v>
      </c>
    </row>
    <row r="28" spans="1:14">
      <c r="A28" s="8">
        <v>12</v>
      </c>
      <c r="B28" s="8">
        <f>C17</f>
        <v>5200</v>
      </c>
      <c r="C28" s="8">
        <v>6500</v>
      </c>
      <c r="D28" s="8">
        <f>B28+C28</f>
        <v>11700</v>
      </c>
    </row>
    <row r="29" spans="1:14">
      <c r="A29" s="8">
        <v>13</v>
      </c>
      <c r="B29" s="8">
        <f>C16</f>
        <v>5100</v>
      </c>
      <c r="C29" s="8">
        <v>7100</v>
      </c>
      <c r="D29" s="8">
        <f>B29+C29</f>
        <v>12200</v>
      </c>
    </row>
    <row r="31" spans="1:14">
      <c r="A31" s="3" t="s">
        <v>82</v>
      </c>
      <c r="D31" s="8">
        <v>11</v>
      </c>
    </row>
    <row r="32" spans="1:14">
      <c r="A32" s="3" t="s">
        <v>83</v>
      </c>
      <c r="D32" s="8">
        <f>MIN(D25:D29)</f>
        <v>11600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26.7109375" customWidth="1"/>
    <col min="2" max="2" width="40.7109375" customWidth="1"/>
    <col min="3" max="3" width="90.7109375" customWidth="1"/>
    <col min="4" max="4" width="22.7109375" customWidth="1"/>
  </cols>
  <sheetData>
    <row r="1" spans="1:4">
      <c r="A1" s="1" t="s">
        <v>84</v>
      </c>
    </row>
    <row r="2" spans="1:4">
      <c r="A2" s="2" t="s">
        <v>85</v>
      </c>
    </row>
    <row r="4" spans="1:4">
      <c r="A4" s="5" t="s">
        <v>86</v>
      </c>
      <c r="B4" s="5" t="s">
        <v>87</v>
      </c>
      <c r="C4" s="5" t="s">
        <v>88</v>
      </c>
      <c r="D4" s="5" t="s">
        <v>89</v>
      </c>
    </row>
    <row r="5" spans="1:4" ht="30" customHeight="1">
      <c r="A5" s="7" t="s">
        <v>90</v>
      </c>
      <c r="B5" s="6" t="s">
        <v>91</v>
      </c>
      <c r="C5" s="6" t="s">
        <v>92</v>
      </c>
      <c r="D5" s="7"/>
    </row>
    <row r="6" spans="1:4" ht="30" customHeight="1">
      <c r="A6" s="7" t="s">
        <v>93</v>
      </c>
      <c r="B6" s="6" t="s">
        <v>25</v>
      </c>
      <c r="C6" s="6" t="s">
        <v>94</v>
      </c>
      <c r="D6" s="7" t="str">
        <f>'CPM'!$D$3</f>
        <v>C – E – F</v>
      </c>
    </row>
    <row r="7" spans="1:4" ht="39" customHeight="1">
      <c r="A7" s="7" t="s">
        <v>95</v>
      </c>
      <c r="B7" s="6" t="s">
        <v>96</v>
      </c>
      <c r="C7" s="6" t="s">
        <v>97</v>
      </c>
      <c r="D7" s="8">
        <f>'Compresión'!$D$32</f>
        <v>11600</v>
      </c>
    </row>
    <row r="9" spans="1:4">
      <c r="A9" s="3" t="s">
        <v>98</v>
      </c>
    </row>
    <row r="10" spans="1:4">
      <c r="A10" s="5" t="s">
        <v>10</v>
      </c>
      <c r="B10" s="5" t="s">
        <v>99</v>
      </c>
      <c r="C10" s="5" t="s">
        <v>100</v>
      </c>
    </row>
    <row r="11" spans="1:4">
      <c r="A11" s="6" t="s">
        <v>15</v>
      </c>
      <c r="B11" s="8">
        <v>7</v>
      </c>
      <c r="C11" s="6" t="s">
        <v>12</v>
      </c>
    </row>
    <row r="13" spans="1:4">
      <c r="A13" s="3" t="s">
        <v>101</v>
      </c>
    </row>
    <row r="14" spans="1:4">
      <c r="A14" s="5" t="s">
        <v>100</v>
      </c>
      <c r="B14" s="5" t="s">
        <v>102</v>
      </c>
      <c r="C14" s="5" t="s">
        <v>103</v>
      </c>
      <c r="D14" s="5" t="s">
        <v>10</v>
      </c>
    </row>
    <row r="15" spans="1:4">
      <c r="A15" s="6" t="s">
        <v>104</v>
      </c>
      <c r="B15" s="6" t="s">
        <v>105</v>
      </c>
      <c r="C15" s="6" t="s">
        <v>106</v>
      </c>
      <c r="D15" s="6" t="s">
        <v>107</v>
      </c>
    </row>
    <row r="17" spans="1:3">
      <c r="A17" s="3" t="s">
        <v>108</v>
      </c>
    </row>
    <row r="18" spans="1:3">
      <c r="A18" s="5" t="s">
        <v>109</v>
      </c>
      <c r="B18" s="5" t="s">
        <v>110</v>
      </c>
      <c r="C18" s="5" t="s">
        <v>111</v>
      </c>
    </row>
    <row r="19" spans="1:3">
      <c r="A19" s="6" t="s">
        <v>112</v>
      </c>
      <c r="B19" s="6" t="s">
        <v>57</v>
      </c>
      <c r="C19" s="6" t="s">
        <v>113</v>
      </c>
    </row>
    <row r="20" spans="1:3">
      <c r="A20" s="6" t="s">
        <v>114</v>
      </c>
      <c r="B20" s="6" t="s">
        <v>57</v>
      </c>
      <c r="C20" s="6" t="s">
        <v>113</v>
      </c>
    </row>
    <row r="21" spans="1:3">
      <c r="A21" s="6" t="s">
        <v>115</v>
      </c>
      <c r="B21" s="6" t="s">
        <v>57</v>
      </c>
      <c r="C21" s="6" t="s">
        <v>113</v>
      </c>
    </row>
    <row r="22" spans="1:3">
      <c r="A22" s="6" t="s">
        <v>116</v>
      </c>
      <c r="B22" s="6" t="s">
        <v>57</v>
      </c>
      <c r="C22" s="6" t="s">
        <v>113</v>
      </c>
    </row>
    <row r="23" spans="1:3">
      <c r="A23" s="6" t="s">
        <v>117</v>
      </c>
      <c r="B23" s="6" t="s">
        <v>57</v>
      </c>
      <c r="C23" s="6" t="s">
        <v>113</v>
      </c>
    </row>
    <row r="24" spans="1:3">
      <c r="A24" s="6" t="s">
        <v>118</v>
      </c>
      <c r="B24" s="6" t="s">
        <v>57</v>
      </c>
      <c r="C24" s="6" t="s">
        <v>113</v>
      </c>
    </row>
    <row r="25" spans="1:3">
      <c r="A25" s="6" t="s">
        <v>119</v>
      </c>
      <c r="B25" s="6" t="s">
        <v>57</v>
      </c>
      <c r="C25" s="6" t="s">
        <v>113</v>
      </c>
    </row>
    <row r="26" spans="1:3">
      <c r="A26" s="6" t="s">
        <v>120</v>
      </c>
      <c r="B26" s="6" t="s">
        <v>57</v>
      </c>
      <c r="C26" s="6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Enunciado</vt:lpstr>
      <vt:lpstr>Datos</vt:lpstr>
      <vt:lpstr>CPM</vt:lpstr>
      <vt:lpstr>Red AON</vt:lpstr>
      <vt:lpstr>Compresión</vt:lpstr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Compresión CPM — Problema 2</dc:title>
  <dc:creator/>
  <dc:description>Generated by pm-scheduling-mcp</dc:description>
  <cp:lastModifiedBy/>
  <dcterms:created xsi:type="dcterms:W3CDTF">2000-01-01T00:00:00Z</dcterms:created>
  <dcterms:modified xsi:type="dcterms:W3CDTF">2000-01-01T00:00:00Z</dcterms:modified>
</cp:coreProperties>
</file>