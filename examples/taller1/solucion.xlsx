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unciado" sheetId="1" r:id="rId1"/>
    <sheet name="Datos" sheetId="2" r:id="rId2"/>
    <sheet name="PERT" sheetId="3" r:id="rId3"/>
    <sheet name="CPM" sheetId="4" r:id="rId4"/>
    <sheet name="Gantt" sheetId="5" r:id="rId5"/>
    <sheet name="Probabilidad" sheetId="6" r:id="rId6"/>
    <sheet name="Resultados" sheetId="7" r:id="rId7"/>
  </sheets>
  <calcPr calcId="124519" fullCalcOnLoad="1"/>
</workbook>
</file>

<file path=xl/sharedStrings.xml><?xml version="1.0" encoding="utf-8"?>
<sst xmlns="http://schemas.openxmlformats.org/spreadsheetml/2006/main" count="553" uniqueCount="246">
  <si>
    <t>Datos de las actividades</t>
  </si>
  <si>
    <t>Unidad de tiempo: semanas · Método: PERT (t_e = (a + b + 4m)/6 alimenta el CPM)</t>
  </si>
  <si>
    <t>Actividad</t>
  </si>
  <si>
    <t>Descripción</t>
  </si>
  <si>
    <t>Predecesoras</t>
  </si>
  <si>
    <t>Ficticia</t>
  </si>
  <si>
    <t>Optimista (a)</t>
  </si>
  <si>
    <t>Normal (m)</t>
  </si>
  <si>
    <t>Pesimista (b)</t>
  </si>
  <si>
    <t>Procedencia</t>
  </si>
  <si>
    <t>A</t>
  </si>
  <si>
    <t/>
  </si>
  <si>
    <t>Ninguna</t>
  </si>
  <si>
    <t>No</t>
  </si>
  <si>
    <t>Extraído del documento (predecessors: Inferido)</t>
  </si>
  <si>
    <t>B</t>
  </si>
  <si>
    <t>C</t>
  </si>
  <si>
    <t>D</t>
  </si>
  <si>
    <t>E</t>
  </si>
  <si>
    <t>F</t>
  </si>
  <si>
    <t>C, B</t>
  </si>
  <si>
    <t>G</t>
  </si>
  <si>
    <t>H</t>
  </si>
  <si>
    <t>I</t>
  </si>
  <si>
    <t>G, F</t>
  </si>
  <si>
    <t>J</t>
  </si>
  <si>
    <t>PERT probabilístico: tiempo esperado y varianza por actividad</t>
  </si>
  <si>
    <t>t_e = (a + b + 4m) / 6        σ² = [(b − a) / 6]²</t>
  </si>
  <si>
    <t>a</t>
  </si>
  <si>
    <t>m</t>
  </si>
  <si>
    <t>b</t>
  </si>
  <si>
    <t>t_e = (a + b + 4m)/6</t>
  </si>
  <si>
    <t>σ² = [(b − a)/6]²</t>
  </si>
  <si>
    <t>t_e (fracción)</t>
  </si>
  <si>
    <t>σ² (fracción)</t>
  </si>
  <si>
    <t>Cálculo t_e</t>
  </si>
  <si>
    <t>Cálculo σ²</t>
  </si>
  <si>
    <t>¿Crítica?</t>
  </si>
  <si>
    <t>2</t>
  </si>
  <si>
    <t>1/9</t>
  </si>
  <si>
    <t>(1 + 3 + 4·2) / 6 = 2</t>
  </si>
  <si>
    <t>[(3 − 1) / 6]² = 1/9</t>
  </si>
  <si>
    <t>3</t>
  </si>
  <si>
    <t>4/9</t>
  </si>
  <si>
    <t>(1 + 5 + 4·3) / 6 = 3</t>
  </si>
  <si>
    <t>[(5 − 1) / 6]² = 4/9</t>
  </si>
  <si>
    <t>4</t>
  </si>
  <si>
    <t>16/9</t>
  </si>
  <si>
    <t>(2 + 10 + 4·3) / 6 = 4</t>
  </si>
  <si>
    <t>[(10 − 2) / 6]² = 16/9</t>
  </si>
  <si>
    <t>5</t>
  </si>
  <si>
    <t>1</t>
  </si>
  <si>
    <t>(2 + 8 + 4·5) / 6 = 5</t>
  </si>
  <si>
    <t>[(8 − 2) / 6]² = 1</t>
  </si>
  <si>
    <t>0</t>
  </si>
  <si>
    <t>(1 + 1 + 4·1) / 6 = 1</t>
  </si>
  <si>
    <t>[(1 − 1) / 6]² = 0</t>
  </si>
  <si>
    <t>(2 + 6 + 4·4) / 6 = 4</t>
  </si>
  <si>
    <t>[(6 − 2) / 6]² = 4/9</t>
  </si>
  <si>
    <t>(1 + 9 + 4·5) / 6 = 5</t>
  </si>
  <si>
    <t>[(9 − 1) / 6]² = 16/9</t>
  </si>
  <si>
    <t>Ruta crítica utilizada</t>
  </si>
  <si>
    <t>A – C – F – H – J</t>
  </si>
  <si>
    <t>Varianza del proyecto σ² = Σ σ² de las actividades críticas</t>
  </si>
  <si>
    <t>37/9</t>
  </si>
  <si>
    <t>σ² = 1/9 + 16/9 + 0 + 4/9 + 16/9 = 37/9</t>
  </si>
  <si>
    <t>Desviación estándar σ = √(Σ σ² A.C.)</t>
  </si>
  <si>
    <t>σ = √(37/9) = 2.0276</t>
  </si>
  <si>
    <t>Tiempo esperado mínimo del proyecto (t_e)</t>
  </si>
  <si>
    <t>Método de la ruta crítica — duraciones = tiempo esperado t_e</t>
  </si>
  <si>
    <t>Tiempo esperado mínimo del proyecto (t_e) (semanas)</t>
  </si>
  <si>
    <t>Ruta crítica</t>
  </si>
  <si>
    <t>Sucesoras</t>
  </si>
  <si>
    <t>Duración (t_e)</t>
  </si>
  <si>
    <t>Inicio más temprano (IC)</t>
  </si>
  <si>
    <t>Terminación más temprana (TC)</t>
  </si>
  <si>
    <t>Inicio más tardío (IL)</t>
  </si>
  <si>
    <t>Terminación más tardía (TL)</t>
  </si>
  <si>
    <t>Holgura (IL − IC)</t>
  </si>
  <si>
    <t>Holgura (TL − TC)</t>
  </si>
  <si>
    <t>Holgura libre</t>
  </si>
  <si>
    <t>—</t>
  </si>
  <si>
    <t>B, C</t>
  </si>
  <si>
    <t>D, F, G</t>
  </si>
  <si>
    <t>F, G</t>
  </si>
  <si>
    <t>H, I</t>
  </si>
  <si>
    <t>Holgura = IL − IC = TL − TC; actividades con holgura 0 = ruta crítica. IC = máx(TC de predecesoras); TL = mín(IL de sucesoras).</t>
  </si>
  <si>
    <t>Diagrama Gantt</t>
  </si>
  <si>
    <t>Por actividad: 1.ª fila = inicio más temprano → terminación más temprana; 2.ª fila = inicio más tardío → terminación más tardía.</t>
  </si>
  <si>
    <t>Actividades</t>
  </si>
  <si>
    <t>Fila</t>
  </si>
  <si>
    <t>Inicio</t>
  </si>
  <si>
    <t>Fin</t>
  </si>
  <si>
    <t>Holgura</t>
  </si>
  <si>
    <t>Duración en semanas</t>
  </si>
  <si>
    <t>Observaciones</t>
  </si>
  <si>
    <t>Temprana</t>
  </si>
  <si>
    <t>Tardía</t>
  </si>
  <si>
    <t>PERT probabilístico — probabilidad de terminación</t>
  </si>
  <si>
    <t>Parámetros</t>
  </si>
  <si>
    <t>σ² (Σ σ² A.C.)</t>
  </si>
  <si>
    <t>σ = √σ²</t>
  </si>
  <si>
    <t>Z = (T_p − t_e) / σ</t>
  </si>
  <si>
    <t>Tabla: Z redondeado a 2 decimales y P(Z) leído a 4 decimales (convención del material de referencia). Exacto: función NORMSDIST.</t>
  </si>
  <si>
    <t>Pregunta</t>
  </si>
  <si>
    <t>Tipo</t>
  </si>
  <si>
    <t>T_p</t>
  </si>
  <si>
    <t>Z exacto</t>
  </si>
  <si>
    <t>P(Z ≤ z) exacta</t>
  </si>
  <si>
    <t>Z tabla</t>
  </si>
  <si>
    <t>P(Z ≤ z) tabla</t>
  </si>
  <si>
    <t>Probabilidad (exacta)</t>
  </si>
  <si>
    <t>Probabilidad (tabla)</t>
  </si>
  <si>
    <t>Interpretación</t>
  </si>
  <si>
    <t>d</t>
  </si>
  <si>
    <t>T ≤ 13</t>
  </si>
  <si>
    <t>P(T ≤ 13) = 0.1620</t>
  </si>
  <si>
    <t>e</t>
  </si>
  <si>
    <t>T ≥ 16</t>
  </si>
  <si>
    <t>P(T ≥ 16) = 0.3109</t>
  </si>
  <si>
    <t>f</t>
  </si>
  <si>
    <t>16 ≤ T ≤ 20</t>
  </si>
  <si>
    <t>P(16 ≤ T ≤ 20) = 0.3041</t>
  </si>
  <si>
    <t>Duración para una probabilidad objetivo: T_p = t_e + Z·σ</t>
  </si>
  <si>
    <t>Probabilidad objetivo</t>
  </si>
  <si>
    <t>T_p exacto</t>
  </si>
  <si>
    <t>T_p con Z de tabla</t>
  </si>
  <si>
    <t>Duración a especificar (entero superior)</t>
  </si>
  <si>
    <t>g</t>
  </si>
  <si>
    <t>P = 0.98 → 20 semanas</t>
  </si>
  <si>
    <t>Z de tabla = menor Z con 2 decimales cuya P(Z) tabulada alcanza la probabilidad objetivo.</t>
  </si>
  <si>
    <t>Resultados finales</t>
  </si>
  <si>
    <t>Taller 1 — Administración de proyectos</t>
  </si>
  <si>
    <t>Parte</t>
  </si>
  <si>
    <t>Respuesta</t>
  </si>
  <si>
    <t>Valor clave (vinculado)</t>
  </si>
  <si>
    <t>Elabore el diagrama Gantt</t>
  </si>
  <si>
    <t>Diagrama Gantt en la hoja 'Gantt': 10 actividades en 15 semanas; barras de tiempos más tempranos y más tardíos; observaciones con actividades críticas y holguras.</t>
  </si>
  <si>
    <t>Para cada actividad los tiempos de inicio más temprano, inicio más tardío, terminación más temprana, terminación más tardía y la holgura.</t>
  </si>
  <si>
    <t>(hoja 'CPM') A: IC 0, TC 2, IL 0, TL 2, holgura 0; B: IC 2, TC 5, IL 3, TL 6, holgura 1; C: IC 2, TC 6, IL 2, TL 6, holgura 0; D: IC 5, TC 10, IL 8, TL 13, holgura 3; E: IC 10, TC 12, IL 13, TL 15, holgura 3; F: IC 6, TC 7, IL 6, TL 7, holgura 0; G: IC 6, TC 7, IL 10, TL 11, holgura 4; H: IC 7, TC 10, IL 7, TL 10, holgura 0; I: IC 7, TC 11, IL 11, TL 15, holgura 4; J: IC 10, TC 15, IL 10, TL 15, holgura 0.</t>
  </si>
  <si>
    <t>c</t>
  </si>
  <si>
    <t>El tiempo mínimo esperado del proyecto, su varianza y las actividades de la ruta crítica.</t>
  </si>
  <si>
    <t>Ruta crítica: A – C – F – H – J. Tiempo esperado mínimo del proyecto (t_e): 15 semanas. Varianza del proyecto: σ² = 1/9 + 16/9 + 0 + 4/9 + 16/9 = 37/9 ≈ 4.1111; desviación estándar σ = √(37/9) = 2.0276.</t>
  </si>
  <si>
    <t>La probabilidad de terminar el proyecto en 13 semanas o menos.</t>
  </si>
  <si>
    <t>P(T ≤ 13) = 0.1620 (Z = -0.9864; con tabla: 0.1611).</t>
  </si>
  <si>
    <t>La probabilidad de terminar el proyecto en 16 semanas o más.</t>
  </si>
  <si>
    <t>P(T ≥ 16) = 0.3109 (Z = 0.4932; con tabla: 0.3121).</t>
  </si>
  <si>
    <t>La probabilidad de desarrollar el proyecto entre 16 y 20 semanas.</t>
  </si>
  <si>
    <t>P(16 ≤ T ≤ 20) = 0.3041 (Z = 2.466, Z = 0.4932; con tabla: 0.3053).</t>
  </si>
  <si>
    <t>Si se desea firmar un contrato que especifique el tiempo de terminación del proyecto de modo que haya una probabilidad del 98 % de cumplir la fecha deseada, ¿Qué duración debería especificarse en el contrato?</t>
  </si>
  <si>
    <t>Para 98 %: Z = 2.0537 → T = 19.1642; con tabla Z = 2.06 → T = 19.1768; duración a especificar: 20 semanas.</t>
  </si>
  <si>
    <t>Procedencia de los datos</t>
  </si>
  <si>
    <t>Campo</t>
  </si>
  <si>
    <t>Extraído del documento</t>
  </si>
  <si>
    <t>Inferido</t>
  </si>
  <si>
    <t>A.predecessors, B.predecessors, C.predecessors, D.predecessors, E.predecessors, F.predecessors, G.predecessors, H.predecessors, I.predecessors, J.predecessors</t>
  </si>
  <si>
    <t>Supuestos e inferencias</t>
  </si>
  <si>
    <t>Valor</t>
  </si>
  <si>
    <t>Justificación</t>
  </si>
  <si>
    <t>requested_outputs</t>
  </si>
  <si>
    <t>GANTT</t>
  </si>
  <si>
    <t>Question 'a' asks for it.</t>
  </si>
  <si>
    <t>EARLY_LATE_TIMES</t>
  </si>
  <si>
    <t>Question 'b' asks for it.</t>
  </si>
  <si>
    <t>SLACK</t>
  </si>
  <si>
    <t>CRITICAL_PATH</t>
  </si>
  <si>
    <t>Question 'c' asks for it.</t>
  </si>
  <si>
    <t>EXPECTED_DURATION</t>
  </si>
  <si>
    <t>VARIANCE</t>
  </si>
  <si>
    <t>PROBABILITY_QUERY</t>
  </si>
  <si>
    <t>Question 'd' asks for it.</t>
  </si>
  <si>
    <t>PERCENTILE_DURATION</t>
  </si>
  <si>
    <t>Question 'g' asks for it.</t>
  </si>
  <si>
    <t>calculation_method</t>
  </si>
  <si>
    <t>PERT</t>
  </si>
  <si>
    <t>Every activity has optimistic, most likely and pessimistic durations.</t>
  </si>
  <si>
    <t>Validación independiente de los cálculos</t>
  </si>
  <si>
    <t>Verificación</t>
  </si>
  <si>
    <t>¿Correcta?</t>
  </si>
  <si>
    <t>Detalle</t>
  </si>
  <si>
    <t>network arcs match the activity predecessor lists</t>
  </si>
  <si>
    <t>Sí</t>
  </si>
  <si>
    <t>ok</t>
  </si>
  <si>
    <t>PERT t_e = a/6 + 2m/3 + b/6 and σ² = (b−a)²/36</t>
  </si>
  <si>
    <t>schedule: durations match their source</t>
  </si>
  <si>
    <t>schedule: EF−ES = LF−LS = duration and LS−ES = LF−EF</t>
  </si>
  <si>
    <t>schedule: every precedence respected</t>
  </si>
  <si>
    <t>schedule: project duration = longest path (independent relaxation)</t>
  </si>
  <si>
    <t>schedule: each critical path sums to the project duration</t>
  </si>
  <si>
    <t>project variance re-summed from the raw estimates</t>
  </si>
  <si>
    <t>probabilities re-derived by numerical integration of the normal pdf</t>
  </si>
  <si>
    <t>percentile durations re-derived (Φ(Z) round-trip, table rule)</t>
  </si>
  <si>
    <t>Gantt bars match ES→EF / LS→LF and critical flags</t>
  </si>
  <si>
    <t>Enunciado y datos de entrada</t>
  </si>
  <si>
    <t>Fuente</t>
  </si>
  <si>
    <t>TALLER 1 ADMINISTRACIÓN DE PROYECTOS.docx</t>
  </si>
  <si>
    <t>Unidad de tiempo</t>
  </si>
  <si>
    <t>semanas</t>
  </si>
  <si>
    <t>Método</t>
  </si>
  <si>
    <t>PERT (t_e = (a + b + 4m)/6 alimenta el CPM)</t>
  </si>
  <si>
    <t>options</t>
  </si>
  <si>
    <t>probability_method=exact; variance_strategy=max_variance_path</t>
  </si>
  <si>
    <t>Preguntas del ejercicio</t>
  </si>
  <si>
    <t>Salidas solicitadas</t>
  </si>
  <si>
    <t>Tiempos de inicio y terminación, Holguras</t>
  </si>
  <si>
    <t>Ruta crítica, Duración del proyecto, Varianza del proyecto</t>
  </si>
  <si>
    <t>Probabilidades de terminación</t>
  </si>
  <si>
    <t>Duración para una probabilidad objetivo</t>
  </si>
  <si>
    <t>Diagrama Gantt, Tiempos de inicio y terminación, Holguras, Ruta crítica, Duración del proyecto, Varianza del proyecto, Probabilidades de terminación, Duración para una probabilidad objetivo</t>
  </si>
  <si>
    <t>Consultas de probabilidad</t>
  </si>
  <si>
    <t>id</t>
  </si>
  <si>
    <t>≥</t>
  </si>
  <si>
    <t>≤</t>
  </si>
  <si>
    <t>p</t>
  </si>
  <si>
    <t>AT_MOST</t>
  </si>
  <si>
    <t>13</t>
  </si>
  <si>
    <t>la probabilidad de terminar el proyecto en 13 semanas o menos.</t>
  </si>
  <si>
    <t>AT_LEAST</t>
  </si>
  <si>
    <t>16</t>
  </si>
  <si>
    <t>la probabilidad de terminar el proyecto en 16 semanas o mas.</t>
  </si>
  <si>
    <t>BETWEEN</t>
  </si>
  <si>
    <t>20</t>
  </si>
  <si>
    <t>la probabilidad de desarrollar el proyecto entre 16 y 20 semanas.</t>
  </si>
  <si>
    <t>PERCENTILE_TO_DURATION</t>
  </si>
  <si>
    <t>0.98</t>
  </si>
  <si>
    <t>Red original ACTIVIDAD - FLECHA y precedencias deducidas</t>
  </si>
  <si>
    <t>Nodo inicial</t>
  </si>
  <si>
    <t>Nodo final</t>
  </si>
  <si>
    <t>Vía ficticias</t>
  </si>
  <si>
    <t>La flecha A sale del nodo 1, al que no llega ninguna actividad: actividad inicial.</t>
  </si>
  <si>
    <t>La flecha B sale del nodo 2; llegan al nodo 2: A.</t>
  </si>
  <si>
    <t>La flecha C sale del nodo 2; llegan al nodo 2: A.</t>
  </si>
  <si>
    <t>8</t>
  </si>
  <si>
    <t>La flecha D sale del nodo 3; llegan al nodo 3: B.</t>
  </si>
  <si>
    <t>9</t>
  </si>
  <si>
    <t>La flecha E sale del nodo 8; llegan al nodo 8: D.</t>
  </si>
  <si>
    <t>ficticia_3_4</t>
  </si>
  <si>
    <t>La flecha F sale del nodo 4; llegan al nodo 4: C; por la(s) ficticia(s) ficticia_3_4 también depende de B.</t>
  </si>
  <si>
    <t>6</t>
  </si>
  <si>
    <t>La flecha G sale del nodo 4; llegan al nodo 4: C; por la(s) ficticia(s) ficticia_3_4 también depende de B.</t>
  </si>
  <si>
    <t>7</t>
  </si>
  <si>
    <t>La flecha H sale del nodo 5; llegan al nodo 5: F.</t>
  </si>
  <si>
    <t>ficticia_5_6</t>
  </si>
  <si>
    <t>La flecha I sale del nodo 6; llegan al nodo 6: G; por la(s) ficticia(s) ficticia_5_6 también depende de F.</t>
  </si>
  <si>
    <t>La flecha J sale del nodo 7; llegan al nodo 7: H.</t>
  </si>
  <si>
    <t>Tabla completa de actividades y procedencia de cada dato: hoja 'Datos'.</t>
  </si>
</sst>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595959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</font>
      <fill>
        <patternFill>
          <bgColor rgb="FFBFBFBF"/>
        </patternFill>
      </fill>
    </dxf>
    <dxf>
      <font>
        <color rgb="FF262626"/>
      </font>
      <fill>
        <patternFill>
          <bgColor rgb="FF26262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22.7109375" customWidth="1"/>
    <col min="2" max="2" width="60.7109375" customWidth="1"/>
    <col min="3" max="5" width="12.7109375" customWidth="1"/>
    <col min="6" max="7" width="40.7109375" customWidth="1"/>
  </cols>
  <sheetData>
    <row r="1" spans="1:3">
      <c r="A1" s="1" t="s">
        <v>132</v>
      </c>
    </row>
    <row r="2" spans="1:3">
      <c r="A2" s="2" t="s">
        <v>193</v>
      </c>
    </row>
    <row r="4" spans="1:3">
      <c r="A4" s="3" t="s">
        <v>194</v>
      </c>
      <c r="B4" s="4" t="s">
        <v>195</v>
      </c>
    </row>
    <row r="5" spans="1:3">
      <c r="A5" s="3" t="s">
        <v>196</v>
      </c>
      <c r="B5" s="4" t="s">
        <v>197</v>
      </c>
    </row>
    <row r="6" spans="1:3">
      <c r="A6" s="3" t="s">
        <v>198</v>
      </c>
      <c r="B6" s="4" t="s">
        <v>199</v>
      </c>
    </row>
    <row r="7" spans="1:3">
      <c r="A7" s="3" t="s">
        <v>200</v>
      </c>
      <c r="B7" s="4" t="s">
        <v>201</v>
      </c>
    </row>
    <row r="9" spans="1:3">
      <c r="A9" s="3" t="s">
        <v>202</v>
      </c>
    </row>
    <row r="10" spans="1:3">
      <c r="A10" s="5" t="s">
        <v>133</v>
      </c>
      <c r="B10" s="5" t="s">
        <v>104</v>
      </c>
      <c r="C10" s="5" t="s">
        <v>203</v>
      </c>
    </row>
    <row r="11" spans="1:3">
      <c r="A11" s="6" t="s">
        <v>28</v>
      </c>
      <c r="B11" s="6" t="s">
        <v>136</v>
      </c>
      <c r="C11" s="6" t="s">
        <v>87</v>
      </c>
    </row>
    <row r="12" spans="1:3">
      <c r="A12" s="6" t="s">
        <v>30</v>
      </c>
      <c r="B12" s="6" t="s">
        <v>138</v>
      </c>
      <c r="C12" s="6" t="s">
        <v>204</v>
      </c>
    </row>
    <row r="13" spans="1:3">
      <c r="A13" s="6" t="s">
        <v>140</v>
      </c>
      <c r="B13" s="6" t="s">
        <v>141</v>
      </c>
      <c r="C13" s="6" t="s">
        <v>205</v>
      </c>
    </row>
    <row r="14" spans="1:3">
      <c r="A14" s="6" t="s">
        <v>114</v>
      </c>
      <c r="B14" s="6" t="s">
        <v>143</v>
      </c>
      <c r="C14" s="6" t="s">
        <v>206</v>
      </c>
    </row>
    <row r="15" spans="1:3">
      <c r="A15" s="6" t="s">
        <v>117</v>
      </c>
      <c r="B15" s="6" t="s">
        <v>145</v>
      </c>
      <c r="C15" s="6" t="s">
        <v>206</v>
      </c>
    </row>
    <row r="16" spans="1:3">
      <c r="A16" s="6" t="s">
        <v>120</v>
      </c>
      <c r="B16" s="6" t="s">
        <v>147</v>
      </c>
      <c r="C16" s="6" t="s">
        <v>206</v>
      </c>
    </row>
    <row r="17" spans="1:7">
      <c r="A17" s="6" t="s">
        <v>128</v>
      </c>
      <c r="B17" s="6" t="s">
        <v>149</v>
      </c>
      <c r="C17" s="6" t="s">
        <v>207</v>
      </c>
    </row>
    <row r="19" spans="1:7">
      <c r="A19" s="3" t="s">
        <v>203</v>
      </c>
      <c r="B19" s="4" t="s">
        <v>208</v>
      </c>
    </row>
    <row r="21" spans="1:7">
      <c r="A21" s="3" t="s">
        <v>209</v>
      </c>
    </row>
    <row r="22" spans="1:7">
      <c r="A22" s="5" t="s">
        <v>210</v>
      </c>
      <c r="B22" s="5" t="s">
        <v>105</v>
      </c>
      <c r="C22" s="5" t="s">
        <v>211</v>
      </c>
      <c r="D22" s="5" t="s">
        <v>212</v>
      </c>
      <c r="E22" s="5" t="s">
        <v>213</v>
      </c>
      <c r="F22" s="5" t="s">
        <v>9</v>
      </c>
      <c r="G22" s="5" t="s">
        <v>194</v>
      </c>
    </row>
    <row r="23" spans="1:7">
      <c r="A23" s="6" t="s">
        <v>114</v>
      </c>
      <c r="B23" s="6" t="s">
        <v>214</v>
      </c>
      <c r="C23" s="6" t="s">
        <v>11</v>
      </c>
      <c r="D23" s="6" t="s">
        <v>215</v>
      </c>
      <c r="E23" s="6" t="s">
        <v>11</v>
      </c>
      <c r="F23" s="6" t="s">
        <v>154</v>
      </c>
      <c r="G23" s="6" t="s">
        <v>216</v>
      </c>
    </row>
    <row r="24" spans="1:7">
      <c r="A24" s="6" t="s">
        <v>117</v>
      </c>
      <c r="B24" s="6" t="s">
        <v>217</v>
      </c>
      <c r="C24" s="6" t="s">
        <v>218</v>
      </c>
      <c r="D24" s="6" t="s">
        <v>11</v>
      </c>
      <c r="E24" s="6" t="s">
        <v>11</v>
      </c>
      <c r="F24" s="6" t="s">
        <v>154</v>
      </c>
      <c r="G24" s="6" t="s">
        <v>219</v>
      </c>
    </row>
    <row r="25" spans="1:7">
      <c r="A25" s="6" t="s">
        <v>120</v>
      </c>
      <c r="B25" s="6" t="s">
        <v>220</v>
      </c>
      <c r="C25" s="6" t="s">
        <v>218</v>
      </c>
      <c r="D25" s="6" t="s">
        <v>221</v>
      </c>
      <c r="E25" s="6" t="s">
        <v>11</v>
      </c>
      <c r="F25" s="6" t="s">
        <v>154</v>
      </c>
      <c r="G25" s="6" t="s">
        <v>222</v>
      </c>
    </row>
    <row r="26" spans="1:7">
      <c r="A26" s="6" t="s">
        <v>128</v>
      </c>
      <c r="B26" s="6" t="s">
        <v>223</v>
      </c>
      <c r="C26" s="6" t="s">
        <v>11</v>
      </c>
      <c r="D26" s="6" t="s">
        <v>11</v>
      </c>
      <c r="E26" s="6" t="s">
        <v>224</v>
      </c>
      <c r="F26" s="6" t="s">
        <v>154</v>
      </c>
      <c r="G26" s="6" t="s">
        <v>149</v>
      </c>
    </row>
    <row r="28" spans="1:7">
      <c r="A28" s="3" t="s">
        <v>225</v>
      </c>
    </row>
    <row r="29" spans="1:7">
      <c r="A29" s="5" t="s">
        <v>2</v>
      </c>
      <c r="B29" s="5" t="s">
        <v>226</v>
      </c>
      <c r="C29" s="5" t="s">
        <v>227</v>
      </c>
      <c r="D29" s="5" t="s">
        <v>4</v>
      </c>
      <c r="E29" s="5" t="s">
        <v>228</v>
      </c>
      <c r="F29" s="5" t="s">
        <v>158</v>
      </c>
    </row>
    <row r="30" spans="1:7">
      <c r="A30" s="6" t="s">
        <v>10</v>
      </c>
      <c r="B30" s="6" t="s">
        <v>51</v>
      </c>
      <c r="C30" s="6" t="s">
        <v>38</v>
      </c>
      <c r="D30" s="6" t="s">
        <v>12</v>
      </c>
      <c r="E30" s="6" t="s">
        <v>11</v>
      </c>
      <c r="F30" s="6" t="s">
        <v>229</v>
      </c>
    </row>
    <row r="31" spans="1:7">
      <c r="A31" s="6" t="s">
        <v>15</v>
      </c>
      <c r="B31" s="6" t="s">
        <v>38</v>
      </c>
      <c r="C31" s="6" t="s">
        <v>42</v>
      </c>
      <c r="D31" s="6" t="s">
        <v>10</v>
      </c>
      <c r="E31" s="6" t="s">
        <v>11</v>
      </c>
      <c r="F31" s="6" t="s">
        <v>230</v>
      </c>
    </row>
    <row r="32" spans="1:7">
      <c r="A32" s="6" t="s">
        <v>16</v>
      </c>
      <c r="B32" s="6" t="s">
        <v>38</v>
      </c>
      <c r="C32" s="6" t="s">
        <v>46</v>
      </c>
      <c r="D32" s="6" t="s">
        <v>10</v>
      </c>
      <c r="E32" s="6" t="s">
        <v>11</v>
      </c>
      <c r="F32" s="6" t="s">
        <v>231</v>
      </c>
    </row>
    <row r="33" spans="1:6">
      <c r="A33" s="6" t="s">
        <v>17</v>
      </c>
      <c r="B33" s="6" t="s">
        <v>42</v>
      </c>
      <c r="C33" s="6" t="s">
        <v>232</v>
      </c>
      <c r="D33" s="6" t="s">
        <v>15</v>
      </c>
      <c r="E33" s="6" t="s">
        <v>11</v>
      </c>
      <c r="F33" s="6" t="s">
        <v>233</v>
      </c>
    </row>
    <row r="34" spans="1:6">
      <c r="A34" s="6" t="s">
        <v>18</v>
      </c>
      <c r="B34" s="6" t="s">
        <v>232</v>
      </c>
      <c r="C34" s="6" t="s">
        <v>234</v>
      </c>
      <c r="D34" s="6" t="s">
        <v>17</v>
      </c>
      <c r="E34" s="6" t="s">
        <v>11</v>
      </c>
      <c r="F34" s="6" t="s">
        <v>235</v>
      </c>
    </row>
    <row r="35" spans="1:6">
      <c r="A35" s="6" t="s">
        <v>19</v>
      </c>
      <c r="B35" s="6" t="s">
        <v>46</v>
      </c>
      <c r="C35" s="6" t="s">
        <v>50</v>
      </c>
      <c r="D35" s="6" t="s">
        <v>20</v>
      </c>
      <c r="E35" s="6" t="s">
        <v>236</v>
      </c>
      <c r="F35" s="6" t="s">
        <v>237</v>
      </c>
    </row>
    <row r="36" spans="1:6">
      <c r="A36" s="6" t="s">
        <v>21</v>
      </c>
      <c r="B36" s="6" t="s">
        <v>46</v>
      </c>
      <c r="C36" s="6" t="s">
        <v>238</v>
      </c>
      <c r="D36" s="6" t="s">
        <v>20</v>
      </c>
      <c r="E36" s="6" t="s">
        <v>236</v>
      </c>
      <c r="F36" s="6" t="s">
        <v>239</v>
      </c>
    </row>
    <row r="37" spans="1:6">
      <c r="A37" s="6" t="s">
        <v>22</v>
      </c>
      <c r="B37" s="6" t="s">
        <v>50</v>
      </c>
      <c r="C37" s="6" t="s">
        <v>240</v>
      </c>
      <c r="D37" s="6" t="s">
        <v>19</v>
      </c>
      <c r="E37" s="6" t="s">
        <v>11</v>
      </c>
      <c r="F37" s="6" t="s">
        <v>241</v>
      </c>
    </row>
    <row r="38" spans="1:6">
      <c r="A38" s="6" t="s">
        <v>23</v>
      </c>
      <c r="B38" s="6" t="s">
        <v>238</v>
      </c>
      <c r="C38" s="6" t="s">
        <v>234</v>
      </c>
      <c r="D38" s="6" t="s">
        <v>24</v>
      </c>
      <c r="E38" s="6" t="s">
        <v>242</v>
      </c>
      <c r="F38" s="6" t="s">
        <v>243</v>
      </c>
    </row>
    <row r="39" spans="1:6">
      <c r="A39" s="6" t="s">
        <v>25</v>
      </c>
      <c r="B39" s="6" t="s">
        <v>240</v>
      </c>
      <c r="C39" s="6" t="s">
        <v>234</v>
      </c>
      <c r="D39" s="6" t="s">
        <v>22</v>
      </c>
      <c r="E39" s="6" t="s">
        <v>11</v>
      </c>
      <c r="F39" s="6" t="s">
        <v>244</v>
      </c>
    </row>
    <row r="41" spans="1:6">
      <c r="A41" s="3" t="s">
        <v>156</v>
      </c>
    </row>
    <row r="42" spans="1:6">
      <c r="A42" s="5" t="s">
        <v>152</v>
      </c>
      <c r="B42" s="5" t="s">
        <v>157</v>
      </c>
      <c r="C42" s="5" t="s">
        <v>158</v>
      </c>
      <c r="D42" s="5" t="s">
        <v>9</v>
      </c>
    </row>
    <row r="43" spans="1:6">
      <c r="A43" s="6" t="s">
        <v>159</v>
      </c>
      <c r="B43" s="6" t="s">
        <v>160</v>
      </c>
      <c r="C43" s="6" t="s">
        <v>161</v>
      </c>
      <c r="D43" s="6" t="s">
        <v>154</v>
      </c>
    </row>
    <row r="44" spans="1:6">
      <c r="A44" s="6" t="s">
        <v>159</v>
      </c>
      <c r="B44" s="6" t="s">
        <v>162</v>
      </c>
      <c r="C44" s="6" t="s">
        <v>163</v>
      </c>
      <c r="D44" s="6" t="s">
        <v>154</v>
      </c>
    </row>
    <row r="45" spans="1:6">
      <c r="A45" s="6" t="s">
        <v>159</v>
      </c>
      <c r="B45" s="6" t="s">
        <v>164</v>
      </c>
      <c r="C45" s="6" t="s">
        <v>163</v>
      </c>
      <c r="D45" s="6" t="s">
        <v>154</v>
      </c>
    </row>
    <row r="46" spans="1:6">
      <c r="A46" s="6" t="s">
        <v>159</v>
      </c>
      <c r="B46" s="6" t="s">
        <v>165</v>
      </c>
      <c r="C46" s="6" t="s">
        <v>166</v>
      </c>
      <c r="D46" s="6" t="s">
        <v>154</v>
      </c>
    </row>
    <row r="47" spans="1:6">
      <c r="A47" s="6" t="s">
        <v>159</v>
      </c>
      <c r="B47" s="6" t="s">
        <v>167</v>
      </c>
      <c r="C47" s="6" t="s">
        <v>166</v>
      </c>
      <c r="D47" s="6" t="s">
        <v>154</v>
      </c>
    </row>
    <row r="48" spans="1:6">
      <c r="A48" s="6" t="s">
        <v>159</v>
      </c>
      <c r="B48" s="6" t="s">
        <v>168</v>
      </c>
      <c r="C48" s="6" t="s">
        <v>166</v>
      </c>
      <c r="D48" s="6" t="s">
        <v>154</v>
      </c>
    </row>
    <row r="49" spans="1:4">
      <c r="A49" s="6" t="s">
        <v>159</v>
      </c>
      <c r="B49" s="6" t="s">
        <v>169</v>
      </c>
      <c r="C49" s="6" t="s">
        <v>170</v>
      </c>
      <c r="D49" s="6" t="s">
        <v>154</v>
      </c>
    </row>
    <row r="50" spans="1:4">
      <c r="A50" s="6" t="s">
        <v>159</v>
      </c>
      <c r="B50" s="6" t="s">
        <v>171</v>
      </c>
      <c r="C50" s="6" t="s">
        <v>172</v>
      </c>
      <c r="D50" s="6" t="s">
        <v>154</v>
      </c>
    </row>
    <row r="51" spans="1:4">
      <c r="A51" s="6" t="s">
        <v>173</v>
      </c>
      <c r="B51" s="6" t="s">
        <v>174</v>
      </c>
      <c r="C51" s="6" t="s">
        <v>175</v>
      </c>
      <c r="D51" s="6" t="s">
        <v>154</v>
      </c>
    </row>
    <row r="53" spans="1:4">
      <c r="A53" s="2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0.7109375" customWidth="1"/>
    <col min="2" max="3" width="18.7109375" customWidth="1"/>
    <col min="4" max="7" width="13.7109375" customWidth="1"/>
    <col min="8" max="8" width="42.7109375" customWidth="1"/>
  </cols>
  <sheetData>
    <row r="1" spans="1:8">
      <c r="A1" s="1" t="s">
        <v>0</v>
      </c>
    </row>
    <row r="2" spans="1:8">
      <c r="A2" s="2" t="s">
        <v>1</v>
      </c>
    </row>
    <row r="4" spans="1:8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>
      <c r="A5" s="7" t="s">
        <v>10</v>
      </c>
      <c r="B5" s="6" t="s">
        <v>11</v>
      </c>
      <c r="C5" s="6" t="s">
        <v>12</v>
      </c>
      <c r="D5" s="7" t="s">
        <v>13</v>
      </c>
      <c r="E5" s="8">
        <v>1</v>
      </c>
      <c r="F5" s="8">
        <v>2</v>
      </c>
      <c r="G5" s="8">
        <v>3</v>
      </c>
      <c r="H5" s="6" t="s">
        <v>14</v>
      </c>
    </row>
    <row r="6" spans="1:8">
      <c r="A6" s="7" t="s">
        <v>15</v>
      </c>
      <c r="B6" s="6" t="s">
        <v>11</v>
      </c>
      <c r="C6" s="6" t="s">
        <v>10</v>
      </c>
      <c r="D6" s="7" t="s">
        <v>13</v>
      </c>
      <c r="E6" s="8">
        <v>1</v>
      </c>
      <c r="F6" s="8">
        <v>3</v>
      </c>
      <c r="G6" s="8">
        <v>5</v>
      </c>
      <c r="H6" s="6" t="s">
        <v>14</v>
      </c>
    </row>
    <row r="7" spans="1:8">
      <c r="A7" s="7" t="s">
        <v>16</v>
      </c>
      <c r="B7" s="6" t="s">
        <v>11</v>
      </c>
      <c r="C7" s="6" t="s">
        <v>10</v>
      </c>
      <c r="D7" s="7" t="s">
        <v>13</v>
      </c>
      <c r="E7" s="8">
        <v>2</v>
      </c>
      <c r="F7" s="8">
        <v>3</v>
      </c>
      <c r="G7" s="8">
        <v>10</v>
      </c>
      <c r="H7" s="6" t="s">
        <v>14</v>
      </c>
    </row>
    <row r="8" spans="1:8">
      <c r="A8" s="7" t="s">
        <v>17</v>
      </c>
      <c r="B8" s="6" t="s">
        <v>11</v>
      </c>
      <c r="C8" s="6" t="s">
        <v>15</v>
      </c>
      <c r="D8" s="7" t="s">
        <v>13</v>
      </c>
      <c r="E8" s="8">
        <v>2</v>
      </c>
      <c r="F8" s="8">
        <v>5</v>
      </c>
      <c r="G8" s="8">
        <v>8</v>
      </c>
      <c r="H8" s="6" t="s">
        <v>14</v>
      </c>
    </row>
    <row r="9" spans="1:8">
      <c r="A9" s="7" t="s">
        <v>18</v>
      </c>
      <c r="B9" s="6" t="s">
        <v>11</v>
      </c>
      <c r="C9" s="6" t="s">
        <v>17</v>
      </c>
      <c r="D9" s="7" t="s">
        <v>13</v>
      </c>
      <c r="E9" s="8">
        <v>1</v>
      </c>
      <c r="F9" s="8">
        <v>2</v>
      </c>
      <c r="G9" s="8">
        <v>3</v>
      </c>
      <c r="H9" s="6" t="s">
        <v>14</v>
      </c>
    </row>
    <row r="10" spans="1:8">
      <c r="A10" s="7" t="s">
        <v>19</v>
      </c>
      <c r="B10" s="6" t="s">
        <v>11</v>
      </c>
      <c r="C10" s="6" t="s">
        <v>20</v>
      </c>
      <c r="D10" s="7" t="s">
        <v>13</v>
      </c>
      <c r="E10" s="8">
        <v>1</v>
      </c>
      <c r="F10" s="8">
        <v>1</v>
      </c>
      <c r="G10" s="8">
        <v>1</v>
      </c>
      <c r="H10" s="6" t="s">
        <v>14</v>
      </c>
    </row>
    <row r="11" spans="1:8">
      <c r="A11" s="7" t="s">
        <v>21</v>
      </c>
      <c r="B11" s="6" t="s">
        <v>11</v>
      </c>
      <c r="C11" s="6" t="s">
        <v>20</v>
      </c>
      <c r="D11" s="7" t="s">
        <v>13</v>
      </c>
      <c r="E11" s="8">
        <v>1</v>
      </c>
      <c r="F11" s="8">
        <v>1</v>
      </c>
      <c r="G11" s="8">
        <v>1</v>
      </c>
      <c r="H11" s="6" t="s">
        <v>14</v>
      </c>
    </row>
    <row r="12" spans="1:8">
      <c r="A12" s="7" t="s">
        <v>22</v>
      </c>
      <c r="B12" s="6" t="s">
        <v>11</v>
      </c>
      <c r="C12" s="6" t="s">
        <v>19</v>
      </c>
      <c r="D12" s="7" t="s">
        <v>13</v>
      </c>
      <c r="E12" s="8">
        <v>1</v>
      </c>
      <c r="F12" s="8">
        <v>3</v>
      </c>
      <c r="G12" s="8">
        <v>5</v>
      </c>
      <c r="H12" s="6" t="s">
        <v>14</v>
      </c>
    </row>
    <row r="13" spans="1:8">
      <c r="A13" s="7" t="s">
        <v>23</v>
      </c>
      <c r="B13" s="6" t="s">
        <v>11</v>
      </c>
      <c r="C13" s="6" t="s">
        <v>24</v>
      </c>
      <c r="D13" s="7" t="s">
        <v>13</v>
      </c>
      <c r="E13" s="8">
        <v>2</v>
      </c>
      <c r="F13" s="8">
        <v>4</v>
      </c>
      <c r="G13" s="8">
        <v>6</v>
      </c>
      <c r="H13" s="6" t="s">
        <v>14</v>
      </c>
    </row>
    <row r="14" spans="1:8">
      <c r="A14" s="7" t="s">
        <v>25</v>
      </c>
      <c r="B14" s="6" t="s">
        <v>11</v>
      </c>
      <c r="C14" s="6" t="s">
        <v>22</v>
      </c>
      <c r="D14" s="7" t="s">
        <v>13</v>
      </c>
      <c r="E14" s="8">
        <v>1</v>
      </c>
      <c r="F14" s="8">
        <v>5</v>
      </c>
      <c r="G14" s="8">
        <v>9</v>
      </c>
      <c r="H14" s="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4" width="9.7109375" customWidth="1"/>
    <col min="5" max="8" width="14.7109375" customWidth="1"/>
    <col min="9" max="10" width="30.7109375" customWidth="1"/>
    <col min="11" max="11" width="10.7109375" customWidth="1"/>
  </cols>
  <sheetData>
    <row r="1" spans="1:11">
      <c r="A1" s="1" t="s">
        <v>26</v>
      </c>
    </row>
    <row r="2" spans="1:11">
      <c r="A2" s="3" t="s">
        <v>27</v>
      </c>
    </row>
    <row r="5" spans="1:11">
      <c r="A5" s="5" t="s">
        <v>2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</row>
    <row r="6" spans="1:11">
      <c r="A6" s="7" t="s">
        <v>10</v>
      </c>
      <c r="B6" s="8">
        <f>'Datos'!$E$5</f>
        <v>1</v>
      </c>
      <c r="C6" s="8">
        <f>'Datos'!$F$5</f>
        <v>2</v>
      </c>
      <c r="D6" s="8">
        <f>'Datos'!$G$5</f>
        <v>3</v>
      </c>
      <c r="E6" s="8">
        <f>(B6+D6+4*C6)/6</f>
        <v>2</v>
      </c>
      <c r="F6" s="9">
        <f>((D6-B6)/6)^2</f>
        <v>0.1111111111111111</v>
      </c>
      <c r="G6" s="7" t="s">
        <v>38</v>
      </c>
      <c r="H6" s="7" t="s">
        <v>39</v>
      </c>
      <c r="I6" s="6" t="s">
        <v>40</v>
      </c>
      <c r="J6" s="6" t="s">
        <v>41</v>
      </c>
      <c r="K6" s="7" t="str">
        <f>'CPM'!$L$6</f>
        <v>Sí</v>
      </c>
    </row>
    <row r="7" spans="1:11">
      <c r="A7" s="7" t="s">
        <v>15</v>
      </c>
      <c r="B7" s="8">
        <f>'Datos'!$E$6</f>
        <v>1</v>
      </c>
      <c r="C7" s="8">
        <f>'Datos'!$F$6</f>
        <v>3</v>
      </c>
      <c r="D7" s="8">
        <f>'Datos'!$G$6</f>
        <v>5</v>
      </c>
      <c r="E7" s="8">
        <f>(B7+D7+4*C7)/6</f>
        <v>3</v>
      </c>
      <c r="F7" s="9">
        <f>((D7-B7)/6)^2</f>
        <v>0.4444444444444444</v>
      </c>
      <c r="G7" s="7" t="s">
        <v>42</v>
      </c>
      <c r="H7" s="7" t="s">
        <v>43</v>
      </c>
      <c r="I7" s="6" t="s">
        <v>44</v>
      </c>
      <c r="J7" s="6" t="s">
        <v>45</v>
      </c>
      <c r="K7" s="7" t="str">
        <f>'CPM'!$L$7</f>
        <v>No</v>
      </c>
    </row>
    <row r="8" spans="1:11">
      <c r="A8" s="7" t="s">
        <v>16</v>
      </c>
      <c r="B8" s="8">
        <f>'Datos'!$E$7</f>
        <v>2</v>
      </c>
      <c r="C8" s="8">
        <f>'Datos'!$F$7</f>
        <v>3</v>
      </c>
      <c r="D8" s="8">
        <f>'Datos'!$G$7</f>
        <v>10</v>
      </c>
      <c r="E8" s="8">
        <f>(B8+D8+4*C8)/6</f>
        <v>4</v>
      </c>
      <c r="F8" s="9">
        <f>((D8-B8)/6)^2</f>
        <v>1.7777777777777777</v>
      </c>
      <c r="G8" s="7" t="s">
        <v>46</v>
      </c>
      <c r="H8" s="7" t="s">
        <v>47</v>
      </c>
      <c r="I8" s="6" t="s">
        <v>48</v>
      </c>
      <c r="J8" s="6" t="s">
        <v>49</v>
      </c>
      <c r="K8" s="7" t="str">
        <f>'CPM'!$L$8</f>
        <v>Sí</v>
      </c>
    </row>
    <row r="9" spans="1:11">
      <c r="A9" s="7" t="s">
        <v>17</v>
      </c>
      <c r="B9" s="8">
        <f>'Datos'!$E$8</f>
        <v>2</v>
      </c>
      <c r="C9" s="8">
        <f>'Datos'!$F$8</f>
        <v>5</v>
      </c>
      <c r="D9" s="8">
        <f>'Datos'!$G$8</f>
        <v>8</v>
      </c>
      <c r="E9" s="8">
        <f>(B9+D9+4*C9)/6</f>
        <v>5</v>
      </c>
      <c r="F9" s="8">
        <f>((D9-B9)/6)^2</f>
        <v>1</v>
      </c>
      <c r="G9" s="7" t="s">
        <v>50</v>
      </c>
      <c r="H9" s="7" t="s">
        <v>51</v>
      </c>
      <c r="I9" s="6" t="s">
        <v>52</v>
      </c>
      <c r="J9" s="6" t="s">
        <v>53</v>
      </c>
      <c r="K9" s="7" t="str">
        <f>'CPM'!$L$9</f>
        <v>No</v>
      </c>
    </row>
    <row r="10" spans="1:11">
      <c r="A10" s="7" t="s">
        <v>18</v>
      </c>
      <c r="B10" s="8">
        <f>'Datos'!$E$9</f>
        <v>1</v>
      </c>
      <c r="C10" s="8">
        <f>'Datos'!$F$9</f>
        <v>2</v>
      </c>
      <c r="D10" s="8">
        <f>'Datos'!$G$9</f>
        <v>3</v>
      </c>
      <c r="E10" s="8">
        <f>(B10+D10+4*C10)/6</f>
        <v>2</v>
      </c>
      <c r="F10" s="9">
        <f>((D10-B10)/6)^2</f>
        <v>0.1111111111111111</v>
      </c>
      <c r="G10" s="7" t="s">
        <v>38</v>
      </c>
      <c r="H10" s="7" t="s">
        <v>39</v>
      </c>
      <c r="I10" s="6" t="s">
        <v>40</v>
      </c>
      <c r="J10" s="6" t="s">
        <v>41</v>
      </c>
      <c r="K10" s="7" t="str">
        <f>'CPM'!$L$10</f>
        <v>No</v>
      </c>
    </row>
    <row r="11" spans="1:11">
      <c r="A11" s="7" t="s">
        <v>19</v>
      </c>
      <c r="B11" s="8">
        <f>'Datos'!$E$10</f>
        <v>1</v>
      </c>
      <c r="C11" s="8">
        <f>'Datos'!$F$10</f>
        <v>1</v>
      </c>
      <c r="D11" s="8">
        <f>'Datos'!$G$10</f>
        <v>1</v>
      </c>
      <c r="E11" s="8">
        <f>(B11+D11+4*C11)/6</f>
        <v>1</v>
      </c>
      <c r="F11" s="8">
        <f>((D11-B11)/6)^2</f>
        <v>0</v>
      </c>
      <c r="G11" s="7" t="s">
        <v>51</v>
      </c>
      <c r="H11" s="7" t="s">
        <v>54</v>
      </c>
      <c r="I11" s="6" t="s">
        <v>55</v>
      </c>
      <c r="J11" s="6" t="s">
        <v>56</v>
      </c>
      <c r="K11" s="7" t="str">
        <f>'CPM'!$L$11</f>
        <v>Sí</v>
      </c>
    </row>
    <row r="12" spans="1:11">
      <c r="A12" s="7" t="s">
        <v>21</v>
      </c>
      <c r="B12" s="8">
        <f>'Datos'!$E$11</f>
        <v>1</v>
      </c>
      <c r="C12" s="8">
        <f>'Datos'!$F$11</f>
        <v>1</v>
      </c>
      <c r="D12" s="8">
        <f>'Datos'!$G$11</f>
        <v>1</v>
      </c>
      <c r="E12" s="8">
        <f>(B12+D12+4*C12)/6</f>
        <v>1</v>
      </c>
      <c r="F12" s="8">
        <f>((D12-B12)/6)^2</f>
        <v>0</v>
      </c>
      <c r="G12" s="7" t="s">
        <v>51</v>
      </c>
      <c r="H12" s="7" t="s">
        <v>54</v>
      </c>
      <c r="I12" s="6" t="s">
        <v>55</v>
      </c>
      <c r="J12" s="6" t="s">
        <v>56</v>
      </c>
      <c r="K12" s="7" t="str">
        <f>'CPM'!$L$12</f>
        <v>No</v>
      </c>
    </row>
    <row r="13" spans="1:11">
      <c r="A13" s="7" t="s">
        <v>22</v>
      </c>
      <c r="B13" s="8">
        <f>'Datos'!$E$12</f>
        <v>1</v>
      </c>
      <c r="C13" s="8">
        <f>'Datos'!$F$12</f>
        <v>3</v>
      </c>
      <c r="D13" s="8">
        <f>'Datos'!$G$12</f>
        <v>5</v>
      </c>
      <c r="E13" s="8">
        <f>(B13+D13+4*C13)/6</f>
        <v>3</v>
      </c>
      <c r="F13" s="9">
        <f>((D13-B13)/6)^2</f>
        <v>0.4444444444444444</v>
      </c>
      <c r="G13" s="7" t="s">
        <v>42</v>
      </c>
      <c r="H13" s="7" t="s">
        <v>43</v>
      </c>
      <c r="I13" s="6" t="s">
        <v>44</v>
      </c>
      <c r="J13" s="6" t="s">
        <v>45</v>
      </c>
      <c r="K13" s="7" t="str">
        <f>'CPM'!$L$13</f>
        <v>Sí</v>
      </c>
    </row>
    <row r="14" spans="1:11">
      <c r="A14" s="7" t="s">
        <v>23</v>
      </c>
      <c r="B14" s="8">
        <f>'Datos'!$E$13</f>
        <v>2</v>
      </c>
      <c r="C14" s="8">
        <f>'Datos'!$F$13</f>
        <v>4</v>
      </c>
      <c r="D14" s="8">
        <f>'Datos'!$G$13</f>
        <v>6</v>
      </c>
      <c r="E14" s="8">
        <f>(B14+D14+4*C14)/6</f>
        <v>4</v>
      </c>
      <c r="F14" s="9">
        <f>((D14-B14)/6)^2</f>
        <v>0.4444444444444444</v>
      </c>
      <c r="G14" s="7" t="s">
        <v>46</v>
      </c>
      <c r="H14" s="7" t="s">
        <v>43</v>
      </c>
      <c r="I14" s="6" t="s">
        <v>57</v>
      </c>
      <c r="J14" s="6" t="s">
        <v>58</v>
      </c>
      <c r="K14" s="7" t="str">
        <f>'CPM'!$L$14</f>
        <v>No</v>
      </c>
    </row>
    <row r="15" spans="1:11">
      <c r="A15" s="7" t="s">
        <v>25</v>
      </c>
      <c r="B15" s="8">
        <f>'Datos'!$E$14</f>
        <v>1</v>
      </c>
      <c r="C15" s="8">
        <f>'Datos'!$F$14</f>
        <v>5</v>
      </c>
      <c r="D15" s="8">
        <f>'Datos'!$G$14</f>
        <v>9</v>
      </c>
      <c r="E15" s="8">
        <f>(B15+D15+4*C15)/6</f>
        <v>5</v>
      </c>
      <c r="F15" s="9">
        <f>((D15-B15)/6)^2</f>
        <v>1.7777777777777777</v>
      </c>
      <c r="G15" s="7" t="s">
        <v>50</v>
      </c>
      <c r="H15" s="7" t="s">
        <v>47</v>
      </c>
      <c r="I15" s="6" t="s">
        <v>59</v>
      </c>
      <c r="J15" s="6" t="s">
        <v>60</v>
      </c>
      <c r="K15" s="7" t="str">
        <f>'CPM'!$L$15</f>
        <v>Sí</v>
      </c>
    </row>
    <row r="17" spans="1:9">
      <c r="A17" s="3" t="s">
        <v>61</v>
      </c>
      <c r="E17" s="3" t="s">
        <v>62</v>
      </c>
    </row>
    <row r="18" spans="1:9">
      <c r="A18" s="3" t="s">
        <v>63</v>
      </c>
      <c r="F18" s="9">
        <f>F6+F8+F11+F13+F15</f>
        <v>4.111111111111111</v>
      </c>
      <c r="G18" s="7" t="s">
        <v>64</v>
      </c>
      <c r="I18" s="4" t="s">
        <v>65</v>
      </c>
    </row>
    <row r="19" spans="1:9">
      <c r="A19" s="3" t="s">
        <v>66</v>
      </c>
      <c r="F19" s="9">
        <f>SQRT(F18)</f>
        <v>2.0275875100994063</v>
      </c>
      <c r="I19" s="4" t="s">
        <v>67</v>
      </c>
    </row>
    <row r="20" spans="1:9">
      <c r="A20" s="3" t="s">
        <v>68</v>
      </c>
      <c r="E20" s="8">
        <f>'CPM'!$D$2</f>
        <v>15</v>
      </c>
    </row>
  </sheetData>
  <conditionalFormatting sqref="A6:K15">
    <cfRule type="expression" dxfId="0" priority="1">
      <formula>$K6="Sí"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3" width="12.7109375" customWidth="1"/>
    <col min="4" max="12" width="13.7109375" customWidth="1"/>
  </cols>
  <sheetData>
    <row r="1" spans="1:12">
      <c r="A1" s="1" t="s">
        <v>69</v>
      </c>
    </row>
    <row r="2" spans="1:12">
      <c r="A2" s="3" t="s">
        <v>70</v>
      </c>
      <c r="D2" s="8">
        <f>MAX(F10,F14,F15)</f>
        <v>15</v>
      </c>
    </row>
    <row r="3" spans="1:12">
      <c r="A3" s="3" t="s">
        <v>71</v>
      </c>
      <c r="D3" s="3" t="s">
        <v>62</v>
      </c>
    </row>
    <row r="5" spans="1:12" ht="42" customHeight="1">
      <c r="A5" s="5" t="s">
        <v>2</v>
      </c>
      <c r="B5" s="5" t="s">
        <v>4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  <c r="H5" s="5" t="s">
        <v>77</v>
      </c>
      <c r="I5" s="5" t="s">
        <v>78</v>
      </c>
      <c r="J5" s="5" t="s">
        <v>79</v>
      </c>
      <c r="K5" s="5" t="s">
        <v>80</v>
      </c>
      <c r="L5" s="5" t="s">
        <v>37</v>
      </c>
    </row>
    <row r="6" spans="1:12">
      <c r="A6" s="7" t="s">
        <v>10</v>
      </c>
      <c r="B6" s="7" t="s">
        <v>81</v>
      </c>
      <c r="C6" s="7" t="s">
        <v>82</v>
      </c>
      <c r="D6" s="8">
        <f>'PERT'!$E$6</f>
        <v>2</v>
      </c>
      <c r="E6" s="8">
        <v>0</v>
      </c>
      <c r="F6" s="8">
        <f>E6+D6</f>
        <v>2</v>
      </c>
      <c r="G6" s="8">
        <f>H6-D6</f>
        <v>0</v>
      </c>
      <c r="H6" s="8">
        <f>MIN(G7,G8)</f>
        <v>2</v>
      </c>
      <c r="I6" s="8">
        <f>ROUND(G6-E6,10)</f>
        <v>0</v>
      </c>
      <c r="J6" s="8">
        <f>ROUND(H6-F6,10)</f>
        <v>0</v>
      </c>
      <c r="K6" s="8">
        <f>ROUND(MIN(E7,E8)-F6,10)</f>
        <v>0</v>
      </c>
      <c r="L6" s="7" t="str">
        <f>IF(ABS(I6)&lt;0.000000001,"Sí","No")</f>
        <v>Sí</v>
      </c>
    </row>
    <row r="7" spans="1:12">
      <c r="A7" s="7" t="s">
        <v>15</v>
      </c>
      <c r="B7" s="7" t="s">
        <v>10</v>
      </c>
      <c r="C7" s="7" t="s">
        <v>83</v>
      </c>
      <c r="D7" s="8">
        <f>'PERT'!$E$7</f>
        <v>3</v>
      </c>
      <c r="E7" s="8">
        <f>MAX(F6)</f>
        <v>2</v>
      </c>
      <c r="F7" s="8">
        <f>E7+D7</f>
        <v>5</v>
      </c>
      <c r="G7" s="8">
        <f>H7-D7</f>
        <v>3</v>
      </c>
      <c r="H7" s="8">
        <f>MIN(G9,G11,G12)</f>
        <v>6</v>
      </c>
      <c r="I7" s="8">
        <f>ROUND(G7-E7,10)</f>
        <v>1</v>
      </c>
      <c r="J7" s="8">
        <f>ROUND(H7-F7,10)</f>
        <v>1</v>
      </c>
      <c r="K7" s="8">
        <f>ROUND(MIN(E9,E11,E12)-F7,10)</f>
        <v>0</v>
      </c>
      <c r="L7" s="7" t="str">
        <f>IF(ABS(I7)&lt;0.000000001,"Sí","No")</f>
        <v>No</v>
      </c>
    </row>
    <row r="8" spans="1:12">
      <c r="A8" s="7" t="s">
        <v>16</v>
      </c>
      <c r="B8" s="7" t="s">
        <v>10</v>
      </c>
      <c r="C8" s="7" t="s">
        <v>84</v>
      </c>
      <c r="D8" s="8">
        <f>'PERT'!$E$8</f>
        <v>4</v>
      </c>
      <c r="E8" s="8">
        <f>MAX(F6)</f>
        <v>2</v>
      </c>
      <c r="F8" s="8">
        <f>E8+D8</f>
        <v>6</v>
      </c>
      <c r="G8" s="8">
        <f>H8-D8</f>
        <v>2</v>
      </c>
      <c r="H8" s="8">
        <f>MIN(G11,G12)</f>
        <v>6</v>
      </c>
      <c r="I8" s="8">
        <f>ROUND(G8-E8,10)</f>
        <v>0</v>
      </c>
      <c r="J8" s="8">
        <f>ROUND(H8-F8,10)</f>
        <v>0</v>
      </c>
      <c r="K8" s="8">
        <f>ROUND(MIN(E11,E12)-F8,10)</f>
        <v>0</v>
      </c>
      <c r="L8" s="7" t="str">
        <f>IF(ABS(I8)&lt;0.000000001,"Sí","No")</f>
        <v>Sí</v>
      </c>
    </row>
    <row r="9" spans="1:12">
      <c r="A9" s="7" t="s">
        <v>17</v>
      </c>
      <c r="B9" s="7" t="s">
        <v>15</v>
      </c>
      <c r="C9" s="7" t="s">
        <v>18</v>
      </c>
      <c r="D9" s="8">
        <f>'PERT'!$E$9</f>
        <v>5</v>
      </c>
      <c r="E9" s="8">
        <f>MAX(F7)</f>
        <v>5</v>
      </c>
      <c r="F9" s="8">
        <f>E9+D9</f>
        <v>10</v>
      </c>
      <c r="G9" s="8">
        <f>H9-D9</f>
        <v>8</v>
      </c>
      <c r="H9" s="8">
        <f>MIN(G10)</f>
        <v>13</v>
      </c>
      <c r="I9" s="8">
        <f>ROUND(G9-E9,10)</f>
        <v>3</v>
      </c>
      <c r="J9" s="8">
        <f>ROUND(H9-F9,10)</f>
        <v>3</v>
      </c>
      <c r="K9" s="8">
        <f>ROUND(MIN(E10)-F9,10)</f>
        <v>0</v>
      </c>
      <c r="L9" s="7" t="str">
        <f>IF(ABS(I9)&lt;0.000000001,"Sí","No")</f>
        <v>No</v>
      </c>
    </row>
    <row r="10" spans="1:12">
      <c r="A10" s="7" t="s">
        <v>18</v>
      </c>
      <c r="B10" s="7" t="s">
        <v>17</v>
      </c>
      <c r="C10" s="7" t="s">
        <v>81</v>
      </c>
      <c r="D10" s="8">
        <f>'PERT'!$E$10</f>
        <v>2</v>
      </c>
      <c r="E10" s="8">
        <f>MAX(F9)</f>
        <v>10</v>
      </c>
      <c r="F10" s="8">
        <f>E10+D10</f>
        <v>12</v>
      </c>
      <c r="G10" s="8">
        <f>H10-D10</f>
        <v>13</v>
      </c>
      <c r="H10" s="8">
        <f>$D$2</f>
        <v>15</v>
      </c>
      <c r="I10" s="8">
        <f>ROUND(G10-E10,10)</f>
        <v>3</v>
      </c>
      <c r="J10" s="8">
        <f>ROUND(H10-F10,10)</f>
        <v>3</v>
      </c>
      <c r="K10" s="8">
        <f>ROUND($D$2-F10,10)</f>
        <v>3</v>
      </c>
      <c r="L10" s="7" t="str">
        <f>IF(ABS(I10)&lt;0.000000001,"Sí","No")</f>
        <v>No</v>
      </c>
    </row>
    <row r="11" spans="1:12">
      <c r="A11" s="7" t="s">
        <v>19</v>
      </c>
      <c r="B11" s="7" t="s">
        <v>20</v>
      </c>
      <c r="C11" s="7" t="s">
        <v>85</v>
      </c>
      <c r="D11" s="8">
        <f>'PERT'!$E$11</f>
        <v>1</v>
      </c>
      <c r="E11" s="8">
        <f>MAX(F8,F7)</f>
        <v>6</v>
      </c>
      <c r="F11" s="8">
        <f>E11+D11</f>
        <v>7</v>
      </c>
      <c r="G11" s="8">
        <f>H11-D11</f>
        <v>6</v>
      </c>
      <c r="H11" s="8">
        <f>MIN(G13,G14)</f>
        <v>7</v>
      </c>
      <c r="I11" s="8">
        <f>ROUND(G11-E11,10)</f>
        <v>0</v>
      </c>
      <c r="J11" s="8">
        <f>ROUND(H11-F11,10)</f>
        <v>0</v>
      </c>
      <c r="K11" s="8">
        <f>ROUND(MIN(E13,E14)-F11,10)</f>
        <v>0</v>
      </c>
      <c r="L11" s="7" t="str">
        <f>IF(ABS(I11)&lt;0.000000001,"Sí","No")</f>
        <v>Sí</v>
      </c>
    </row>
    <row r="12" spans="1:12">
      <c r="A12" s="7" t="s">
        <v>21</v>
      </c>
      <c r="B12" s="7" t="s">
        <v>20</v>
      </c>
      <c r="C12" s="7" t="s">
        <v>23</v>
      </c>
      <c r="D12" s="8">
        <f>'PERT'!$E$12</f>
        <v>1</v>
      </c>
      <c r="E12" s="8">
        <f>MAX(F8,F7)</f>
        <v>6</v>
      </c>
      <c r="F12" s="8">
        <f>E12+D12</f>
        <v>7</v>
      </c>
      <c r="G12" s="8">
        <f>H12-D12</f>
        <v>10</v>
      </c>
      <c r="H12" s="8">
        <f>MIN(G14)</f>
        <v>11</v>
      </c>
      <c r="I12" s="8">
        <f>ROUND(G12-E12,10)</f>
        <v>4</v>
      </c>
      <c r="J12" s="8">
        <f>ROUND(H12-F12,10)</f>
        <v>4</v>
      </c>
      <c r="K12" s="8">
        <f>ROUND(MIN(E14)-F12,10)</f>
        <v>0</v>
      </c>
      <c r="L12" s="7" t="str">
        <f>IF(ABS(I12)&lt;0.000000001,"Sí","No")</f>
        <v>No</v>
      </c>
    </row>
    <row r="13" spans="1:12">
      <c r="A13" s="7" t="s">
        <v>22</v>
      </c>
      <c r="B13" s="7" t="s">
        <v>19</v>
      </c>
      <c r="C13" s="7" t="s">
        <v>25</v>
      </c>
      <c r="D13" s="8">
        <f>'PERT'!$E$13</f>
        <v>3</v>
      </c>
      <c r="E13" s="8">
        <f>MAX(F11)</f>
        <v>7</v>
      </c>
      <c r="F13" s="8">
        <f>E13+D13</f>
        <v>10</v>
      </c>
      <c r="G13" s="8">
        <f>H13-D13</f>
        <v>7</v>
      </c>
      <c r="H13" s="8">
        <f>MIN(G15)</f>
        <v>10</v>
      </c>
      <c r="I13" s="8">
        <f>ROUND(G13-E13,10)</f>
        <v>0</v>
      </c>
      <c r="J13" s="8">
        <f>ROUND(H13-F13,10)</f>
        <v>0</v>
      </c>
      <c r="K13" s="8">
        <f>ROUND(MIN(E15)-F13,10)</f>
        <v>0</v>
      </c>
      <c r="L13" s="7" t="str">
        <f>IF(ABS(I13)&lt;0.000000001,"Sí","No")</f>
        <v>Sí</v>
      </c>
    </row>
    <row r="14" spans="1:12">
      <c r="A14" s="7" t="s">
        <v>23</v>
      </c>
      <c r="B14" s="7" t="s">
        <v>24</v>
      </c>
      <c r="C14" s="7" t="s">
        <v>81</v>
      </c>
      <c r="D14" s="8">
        <f>'PERT'!$E$14</f>
        <v>4</v>
      </c>
      <c r="E14" s="8">
        <f>MAX(F12,F11)</f>
        <v>7</v>
      </c>
      <c r="F14" s="8">
        <f>E14+D14</f>
        <v>11</v>
      </c>
      <c r="G14" s="8">
        <f>H14-D14</f>
        <v>11</v>
      </c>
      <c r="H14" s="8">
        <f>$D$2</f>
        <v>15</v>
      </c>
      <c r="I14" s="8">
        <f>ROUND(G14-E14,10)</f>
        <v>4</v>
      </c>
      <c r="J14" s="8">
        <f>ROUND(H14-F14,10)</f>
        <v>4</v>
      </c>
      <c r="K14" s="8">
        <f>ROUND($D$2-F14,10)</f>
        <v>4</v>
      </c>
      <c r="L14" s="7" t="str">
        <f>IF(ABS(I14)&lt;0.000000001,"Sí","No")</f>
        <v>No</v>
      </c>
    </row>
    <row r="15" spans="1:12">
      <c r="A15" s="7" t="s">
        <v>25</v>
      </c>
      <c r="B15" s="7" t="s">
        <v>22</v>
      </c>
      <c r="C15" s="7" t="s">
        <v>81</v>
      </c>
      <c r="D15" s="8">
        <f>'PERT'!$E$15</f>
        <v>5</v>
      </c>
      <c r="E15" s="8">
        <f>MAX(F13)</f>
        <v>10</v>
      </c>
      <c r="F15" s="8">
        <f>E15+D15</f>
        <v>15</v>
      </c>
      <c r="G15" s="8">
        <f>H15-D15</f>
        <v>10</v>
      </c>
      <c r="H15" s="8">
        <f>$D$2</f>
        <v>15</v>
      </c>
      <c r="I15" s="8">
        <f>ROUND(G15-E15,10)</f>
        <v>0</v>
      </c>
      <c r="J15" s="8">
        <f>ROUND(H15-F15,10)</f>
        <v>0</v>
      </c>
      <c r="K15" s="8">
        <f>ROUND($D$2-F15,10)</f>
        <v>0</v>
      </c>
      <c r="L15" s="7" t="str">
        <f>IF(ABS(I15)&lt;0.000000001,"Sí","No")</f>
        <v>Sí</v>
      </c>
    </row>
    <row r="17" spans="1:1">
      <c r="A17" s="2" t="s">
        <v>86</v>
      </c>
    </row>
  </sheetData>
  <conditionalFormatting sqref="A6:L15">
    <cfRule type="expression" dxfId="0" priority="1">
      <formula>ABS($I6)&lt;0.000000001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9.7109375" customWidth="1"/>
    <col min="3" max="5" width="7.7109375" customWidth="1"/>
    <col min="6" max="20" width="4" customWidth="1"/>
    <col min="21" max="21" width="26.7109375" customWidth="1"/>
  </cols>
  <sheetData>
    <row r="1" spans="1:21">
      <c r="A1" s="1" t="s">
        <v>87</v>
      </c>
    </row>
    <row r="2" spans="1:21">
      <c r="A2" s="2" t="s">
        <v>88</v>
      </c>
    </row>
    <row r="4" spans="1:21">
      <c r="A4" s="5" t="s">
        <v>89</v>
      </c>
      <c r="B4" s="5" t="s">
        <v>90</v>
      </c>
      <c r="C4" s="5" t="s">
        <v>91</v>
      </c>
      <c r="D4" s="5" t="s">
        <v>92</v>
      </c>
      <c r="E4" s="5" t="s">
        <v>93</v>
      </c>
      <c r="F4" s="5" t="s">
        <v>94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 t="s">
        <v>95</v>
      </c>
    </row>
    <row r="5" spans="1:21">
      <c r="A5" s="5"/>
      <c r="B5" s="5"/>
      <c r="C5" s="5"/>
      <c r="D5" s="5"/>
      <c r="E5" s="5"/>
      <c r="F5" s="5">
        <v>1</v>
      </c>
      <c r="G5" s="5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/>
    </row>
    <row r="6" spans="1:21">
      <c r="A6" s="7" t="s">
        <v>10</v>
      </c>
      <c r="B6" s="10" t="s">
        <v>96</v>
      </c>
      <c r="C6" s="8">
        <f>'CPM'!$E$6</f>
        <v>0</v>
      </c>
      <c r="D6" s="8">
        <f>'CPM'!$F$6</f>
        <v>2</v>
      </c>
      <c r="E6" s="8">
        <f>'CPM'!$I$6</f>
        <v>0</v>
      </c>
      <c r="F6" s="11" t="str">
        <f>IF(AND(ROUND($D6,9)&gt;ROUND($C6,9),F$5&gt;ROUND($C6,9),F$5-1&lt;ROUND($D6,9)),"█","")</f>
        <v>█</v>
      </c>
      <c r="G6" s="11" t="str">
        <f>IF(AND(ROUND($D6,9)&gt;ROUND($C6,9),G$5&gt;ROUND($C6,9),G$5-1&lt;ROUND($D6,9)),"█","")</f>
        <v>█</v>
      </c>
      <c r="H6" s="11">
        <f>IF(AND(ROUND($D6,9)&gt;ROUND($C6,9),H$5&gt;ROUND($C6,9),H$5-1&lt;ROUND($D6,9)),"█","")</f>
        <v/>
      </c>
      <c r="I6" s="11">
        <f>IF(AND(ROUND($D6,9)&gt;ROUND($C6,9),I$5&gt;ROUND($C6,9),I$5-1&lt;ROUND($D6,9)),"█","")</f>
        <v/>
      </c>
      <c r="J6" s="11">
        <f>IF(AND(ROUND($D6,9)&gt;ROUND($C6,9),J$5&gt;ROUND($C6,9),J$5-1&lt;ROUND($D6,9)),"█","")</f>
        <v/>
      </c>
      <c r="K6" s="11">
        <f>IF(AND(ROUND($D6,9)&gt;ROUND($C6,9),K$5&gt;ROUND($C6,9),K$5-1&lt;ROUND($D6,9)),"█","")</f>
        <v/>
      </c>
      <c r="L6" s="11">
        <f>IF(AND(ROUND($D6,9)&gt;ROUND($C6,9),L$5&gt;ROUND($C6,9),L$5-1&lt;ROUND($D6,9)),"█","")</f>
        <v/>
      </c>
      <c r="M6" s="11">
        <f>IF(AND(ROUND($D6,9)&gt;ROUND($C6,9),M$5&gt;ROUND($C6,9),M$5-1&lt;ROUND($D6,9)),"█","")</f>
        <v/>
      </c>
      <c r="N6" s="11">
        <f>IF(AND(ROUND($D6,9)&gt;ROUND($C6,9),N$5&gt;ROUND($C6,9),N$5-1&lt;ROUND($D6,9)),"█","")</f>
        <v/>
      </c>
      <c r="O6" s="11">
        <f>IF(AND(ROUND($D6,9)&gt;ROUND($C6,9),O$5&gt;ROUND($C6,9),O$5-1&lt;ROUND($D6,9)),"█","")</f>
        <v/>
      </c>
      <c r="P6" s="11">
        <f>IF(AND(ROUND($D6,9)&gt;ROUND($C6,9),P$5&gt;ROUND($C6,9),P$5-1&lt;ROUND($D6,9)),"█","")</f>
        <v/>
      </c>
      <c r="Q6" s="11">
        <f>IF(AND(ROUND($D6,9)&gt;ROUND($C6,9),Q$5&gt;ROUND($C6,9),Q$5-1&lt;ROUND($D6,9)),"█","")</f>
        <v/>
      </c>
      <c r="R6" s="11">
        <f>IF(AND(ROUND($D6,9)&gt;ROUND($C6,9),R$5&gt;ROUND($C6,9),R$5-1&lt;ROUND($D6,9)),"█","")</f>
        <v/>
      </c>
      <c r="S6" s="11">
        <f>IF(AND(ROUND($D6,9)&gt;ROUND($C6,9),S$5&gt;ROUND($C6,9),S$5-1&lt;ROUND($D6,9)),"█","")</f>
        <v/>
      </c>
      <c r="T6" s="11">
        <f>IF(AND(ROUND($D6,9)&gt;ROUND($C6,9),T$5&gt;ROUND($C6,9),T$5-1&lt;ROUND($D6,9)),"█","")</f>
        <v/>
      </c>
      <c r="U6" s="7" t="str">
        <f>IF(ABS($E$6)&lt;0.000000001,"Actividad Crítica","Holgura de "&amp;ROUND($E$6,4)&amp;" "&amp;IF(ROUND($E$6,4)=1,"semana","semanas"))</f>
        <v>Actividad Crítica</v>
      </c>
    </row>
    <row r="7" spans="1:21">
      <c r="A7" s="7"/>
      <c r="B7" s="10" t="s">
        <v>97</v>
      </c>
      <c r="C7" s="8">
        <f>'CPM'!$G$6</f>
        <v>0</v>
      </c>
      <c r="D7" s="8">
        <f>'CPM'!$H$6</f>
        <v>2</v>
      </c>
      <c r="E7" s="8"/>
      <c r="F7" s="11" t="str">
        <f>IF(AND(ROUND($D7,9)&gt;ROUND($C7,9),F$5&gt;ROUND($C7,9),F$5-1&lt;ROUND($D7,9)),"█","")</f>
        <v>█</v>
      </c>
      <c r="G7" s="11" t="str">
        <f>IF(AND(ROUND($D7,9)&gt;ROUND($C7,9),G$5&gt;ROUND($C7,9),G$5-1&lt;ROUND($D7,9)),"█","")</f>
        <v>█</v>
      </c>
      <c r="H7" s="11">
        <f>IF(AND(ROUND($D7,9)&gt;ROUND($C7,9),H$5&gt;ROUND($C7,9),H$5-1&lt;ROUND($D7,9)),"█","")</f>
        <v/>
      </c>
      <c r="I7" s="11">
        <f>IF(AND(ROUND($D7,9)&gt;ROUND($C7,9),I$5&gt;ROUND($C7,9),I$5-1&lt;ROUND($D7,9)),"█","")</f>
        <v/>
      </c>
      <c r="J7" s="11">
        <f>IF(AND(ROUND($D7,9)&gt;ROUND($C7,9),J$5&gt;ROUND($C7,9),J$5-1&lt;ROUND($D7,9)),"█","")</f>
        <v/>
      </c>
      <c r="K7" s="11">
        <f>IF(AND(ROUND($D7,9)&gt;ROUND($C7,9),K$5&gt;ROUND($C7,9),K$5-1&lt;ROUND($D7,9)),"█","")</f>
        <v/>
      </c>
      <c r="L7" s="11">
        <f>IF(AND(ROUND($D7,9)&gt;ROUND($C7,9),L$5&gt;ROUND($C7,9),L$5-1&lt;ROUND($D7,9)),"█","")</f>
        <v/>
      </c>
      <c r="M7" s="11">
        <f>IF(AND(ROUND($D7,9)&gt;ROUND($C7,9),M$5&gt;ROUND($C7,9),M$5-1&lt;ROUND($D7,9)),"█","")</f>
        <v/>
      </c>
      <c r="N7" s="11">
        <f>IF(AND(ROUND($D7,9)&gt;ROUND($C7,9),N$5&gt;ROUND($C7,9),N$5-1&lt;ROUND($D7,9)),"█","")</f>
        <v/>
      </c>
      <c r="O7" s="11">
        <f>IF(AND(ROUND($D7,9)&gt;ROUND($C7,9),O$5&gt;ROUND($C7,9),O$5-1&lt;ROUND($D7,9)),"█","")</f>
        <v/>
      </c>
      <c r="P7" s="11">
        <f>IF(AND(ROUND($D7,9)&gt;ROUND($C7,9),P$5&gt;ROUND($C7,9),P$5-1&lt;ROUND($D7,9)),"█","")</f>
        <v/>
      </c>
      <c r="Q7" s="11">
        <f>IF(AND(ROUND($D7,9)&gt;ROUND($C7,9),Q$5&gt;ROUND($C7,9),Q$5-1&lt;ROUND($D7,9)),"█","")</f>
        <v/>
      </c>
      <c r="R7" s="11">
        <f>IF(AND(ROUND($D7,9)&gt;ROUND($C7,9),R$5&gt;ROUND($C7,9),R$5-1&lt;ROUND($D7,9)),"█","")</f>
        <v/>
      </c>
      <c r="S7" s="11">
        <f>IF(AND(ROUND($D7,9)&gt;ROUND($C7,9),S$5&gt;ROUND($C7,9),S$5-1&lt;ROUND($D7,9)),"█","")</f>
        <v/>
      </c>
      <c r="T7" s="11">
        <f>IF(AND(ROUND($D7,9)&gt;ROUND($C7,9),T$5&gt;ROUND($C7,9),T$5-1&lt;ROUND($D7,9)),"█","")</f>
        <v/>
      </c>
      <c r="U7" s="7"/>
    </row>
    <row r="8" spans="1:21">
      <c r="A8" s="7" t="s">
        <v>15</v>
      </c>
      <c r="B8" s="10" t="s">
        <v>96</v>
      </c>
      <c r="C8" s="8">
        <f>'CPM'!$E$7</f>
        <v>2</v>
      </c>
      <c r="D8" s="8">
        <f>'CPM'!$F$7</f>
        <v>5</v>
      </c>
      <c r="E8" s="8">
        <f>'CPM'!$I$7</f>
        <v>1</v>
      </c>
      <c r="F8" s="11">
        <f>IF(AND(ROUND($D8,9)&gt;ROUND($C8,9),F$5&gt;ROUND($C8,9),F$5-1&lt;ROUND($D8,9)),"█","")</f>
        <v/>
      </c>
      <c r="G8" s="11">
        <f>IF(AND(ROUND($D8,9)&gt;ROUND($C8,9),G$5&gt;ROUND($C8,9),G$5-1&lt;ROUND($D8,9)),"█","")</f>
        <v/>
      </c>
      <c r="H8" s="11" t="str">
        <f>IF(AND(ROUND($D8,9)&gt;ROUND($C8,9),H$5&gt;ROUND($C8,9),H$5-1&lt;ROUND($D8,9)),"█","")</f>
        <v>█</v>
      </c>
      <c r="I8" s="11" t="str">
        <f>IF(AND(ROUND($D8,9)&gt;ROUND($C8,9),I$5&gt;ROUND($C8,9),I$5-1&lt;ROUND($D8,9)),"█","")</f>
        <v>█</v>
      </c>
      <c r="J8" s="11" t="str">
        <f>IF(AND(ROUND($D8,9)&gt;ROUND($C8,9),J$5&gt;ROUND($C8,9),J$5-1&lt;ROUND($D8,9)),"█","")</f>
        <v>█</v>
      </c>
      <c r="K8" s="11">
        <f>IF(AND(ROUND($D8,9)&gt;ROUND($C8,9),K$5&gt;ROUND($C8,9),K$5-1&lt;ROUND($D8,9)),"█","")</f>
        <v/>
      </c>
      <c r="L8" s="11">
        <f>IF(AND(ROUND($D8,9)&gt;ROUND($C8,9),L$5&gt;ROUND($C8,9),L$5-1&lt;ROUND($D8,9)),"█","")</f>
        <v/>
      </c>
      <c r="M8" s="11">
        <f>IF(AND(ROUND($D8,9)&gt;ROUND($C8,9),M$5&gt;ROUND($C8,9),M$5-1&lt;ROUND($D8,9)),"█","")</f>
        <v/>
      </c>
      <c r="N8" s="11">
        <f>IF(AND(ROUND($D8,9)&gt;ROUND($C8,9),N$5&gt;ROUND($C8,9),N$5-1&lt;ROUND($D8,9)),"█","")</f>
        <v/>
      </c>
      <c r="O8" s="11">
        <f>IF(AND(ROUND($D8,9)&gt;ROUND($C8,9),O$5&gt;ROUND($C8,9),O$5-1&lt;ROUND($D8,9)),"█","")</f>
        <v/>
      </c>
      <c r="P8" s="11">
        <f>IF(AND(ROUND($D8,9)&gt;ROUND($C8,9),P$5&gt;ROUND($C8,9),P$5-1&lt;ROUND($D8,9)),"█","")</f>
        <v/>
      </c>
      <c r="Q8" s="11">
        <f>IF(AND(ROUND($D8,9)&gt;ROUND($C8,9),Q$5&gt;ROUND($C8,9),Q$5-1&lt;ROUND($D8,9)),"█","")</f>
        <v/>
      </c>
      <c r="R8" s="11">
        <f>IF(AND(ROUND($D8,9)&gt;ROUND($C8,9),R$5&gt;ROUND($C8,9),R$5-1&lt;ROUND($D8,9)),"█","")</f>
        <v/>
      </c>
      <c r="S8" s="11">
        <f>IF(AND(ROUND($D8,9)&gt;ROUND($C8,9),S$5&gt;ROUND($C8,9),S$5-1&lt;ROUND($D8,9)),"█","")</f>
        <v/>
      </c>
      <c r="T8" s="11">
        <f>IF(AND(ROUND($D8,9)&gt;ROUND($C8,9),T$5&gt;ROUND($C8,9),T$5-1&lt;ROUND($D8,9)),"█","")</f>
        <v/>
      </c>
      <c r="U8" s="7" t="str">
        <f>IF(ABS($E$8)&lt;0.000000001,"Actividad Crítica","Holgura de "&amp;ROUND($E$8,4)&amp;" "&amp;IF(ROUND($E$8,4)=1,"semana","semanas"))</f>
        <v>Holgura de 1 semana</v>
      </c>
    </row>
    <row r="9" spans="1:21">
      <c r="A9" s="7"/>
      <c r="B9" s="10" t="s">
        <v>97</v>
      </c>
      <c r="C9" s="8">
        <f>'CPM'!$G$7</f>
        <v>3</v>
      </c>
      <c r="D9" s="8">
        <f>'CPM'!$H$7</f>
        <v>6</v>
      </c>
      <c r="E9" s="8"/>
      <c r="F9" s="11">
        <f>IF(AND(ROUND($D9,9)&gt;ROUND($C9,9),F$5&gt;ROUND($C9,9),F$5-1&lt;ROUND($D9,9)),"█","")</f>
        <v/>
      </c>
      <c r="G9" s="11">
        <f>IF(AND(ROUND($D9,9)&gt;ROUND($C9,9),G$5&gt;ROUND($C9,9),G$5-1&lt;ROUND($D9,9)),"█","")</f>
        <v/>
      </c>
      <c r="H9" s="11">
        <f>IF(AND(ROUND($D9,9)&gt;ROUND($C9,9),H$5&gt;ROUND($C9,9),H$5-1&lt;ROUND($D9,9)),"█","")</f>
        <v/>
      </c>
      <c r="I9" s="11" t="str">
        <f>IF(AND(ROUND($D9,9)&gt;ROUND($C9,9),I$5&gt;ROUND($C9,9),I$5-1&lt;ROUND($D9,9)),"█","")</f>
        <v>█</v>
      </c>
      <c r="J9" s="11" t="str">
        <f>IF(AND(ROUND($D9,9)&gt;ROUND($C9,9),J$5&gt;ROUND($C9,9),J$5-1&lt;ROUND($D9,9)),"█","")</f>
        <v>█</v>
      </c>
      <c r="K9" s="11" t="str">
        <f>IF(AND(ROUND($D9,9)&gt;ROUND($C9,9),K$5&gt;ROUND($C9,9),K$5-1&lt;ROUND($D9,9)),"█","")</f>
        <v>█</v>
      </c>
      <c r="L9" s="11">
        <f>IF(AND(ROUND($D9,9)&gt;ROUND($C9,9),L$5&gt;ROUND($C9,9),L$5-1&lt;ROUND($D9,9)),"█","")</f>
        <v/>
      </c>
      <c r="M9" s="11">
        <f>IF(AND(ROUND($D9,9)&gt;ROUND($C9,9),M$5&gt;ROUND($C9,9),M$5-1&lt;ROUND($D9,9)),"█","")</f>
        <v/>
      </c>
      <c r="N9" s="11">
        <f>IF(AND(ROUND($D9,9)&gt;ROUND($C9,9),N$5&gt;ROUND($C9,9),N$5-1&lt;ROUND($D9,9)),"█","")</f>
        <v/>
      </c>
      <c r="O9" s="11">
        <f>IF(AND(ROUND($D9,9)&gt;ROUND($C9,9),O$5&gt;ROUND($C9,9),O$5-1&lt;ROUND($D9,9)),"█","")</f>
        <v/>
      </c>
      <c r="P9" s="11">
        <f>IF(AND(ROUND($D9,9)&gt;ROUND($C9,9),P$5&gt;ROUND($C9,9),P$5-1&lt;ROUND($D9,9)),"█","")</f>
        <v/>
      </c>
      <c r="Q9" s="11">
        <f>IF(AND(ROUND($D9,9)&gt;ROUND($C9,9),Q$5&gt;ROUND($C9,9),Q$5-1&lt;ROUND($D9,9)),"█","")</f>
        <v/>
      </c>
      <c r="R9" s="11">
        <f>IF(AND(ROUND($D9,9)&gt;ROUND($C9,9),R$5&gt;ROUND($C9,9),R$5-1&lt;ROUND($D9,9)),"█","")</f>
        <v/>
      </c>
      <c r="S9" s="11">
        <f>IF(AND(ROUND($D9,9)&gt;ROUND($C9,9),S$5&gt;ROUND($C9,9),S$5-1&lt;ROUND($D9,9)),"█","")</f>
        <v/>
      </c>
      <c r="T9" s="11">
        <f>IF(AND(ROUND($D9,9)&gt;ROUND($C9,9),T$5&gt;ROUND($C9,9),T$5-1&lt;ROUND($D9,9)),"█","")</f>
        <v/>
      </c>
      <c r="U9" s="7"/>
    </row>
    <row r="10" spans="1:21">
      <c r="A10" s="7" t="s">
        <v>16</v>
      </c>
      <c r="B10" s="10" t="s">
        <v>96</v>
      </c>
      <c r="C10" s="8">
        <f>'CPM'!$E$8</f>
        <v>2</v>
      </c>
      <c r="D10" s="8">
        <f>'CPM'!$F$8</f>
        <v>6</v>
      </c>
      <c r="E10" s="8">
        <f>'CPM'!$I$8</f>
        <v>0</v>
      </c>
      <c r="F10" s="11">
        <f>IF(AND(ROUND($D10,9)&gt;ROUND($C10,9),F$5&gt;ROUND($C10,9),F$5-1&lt;ROUND($D10,9)),"█","")</f>
        <v/>
      </c>
      <c r="G10" s="11">
        <f>IF(AND(ROUND($D10,9)&gt;ROUND($C10,9),G$5&gt;ROUND($C10,9),G$5-1&lt;ROUND($D10,9)),"█","")</f>
        <v/>
      </c>
      <c r="H10" s="11" t="str">
        <f>IF(AND(ROUND($D10,9)&gt;ROUND($C10,9),H$5&gt;ROUND($C10,9),H$5-1&lt;ROUND($D10,9)),"█","")</f>
        <v>█</v>
      </c>
      <c r="I10" s="11" t="str">
        <f>IF(AND(ROUND($D10,9)&gt;ROUND($C10,9),I$5&gt;ROUND($C10,9),I$5-1&lt;ROUND($D10,9)),"█","")</f>
        <v>█</v>
      </c>
      <c r="J10" s="11" t="str">
        <f>IF(AND(ROUND($D10,9)&gt;ROUND($C10,9),J$5&gt;ROUND($C10,9),J$5-1&lt;ROUND($D10,9)),"█","")</f>
        <v>█</v>
      </c>
      <c r="K10" s="11" t="str">
        <f>IF(AND(ROUND($D10,9)&gt;ROUND($C10,9),K$5&gt;ROUND($C10,9),K$5-1&lt;ROUND($D10,9)),"█","")</f>
        <v>█</v>
      </c>
      <c r="L10" s="11">
        <f>IF(AND(ROUND($D10,9)&gt;ROUND($C10,9),L$5&gt;ROUND($C10,9),L$5-1&lt;ROUND($D10,9)),"█","")</f>
        <v/>
      </c>
      <c r="M10" s="11">
        <f>IF(AND(ROUND($D10,9)&gt;ROUND($C10,9),M$5&gt;ROUND($C10,9),M$5-1&lt;ROUND($D10,9)),"█","")</f>
        <v/>
      </c>
      <c r="N10" s="11">
        <f>IF(AND(ROUND($D10,9)&gt;ROUND($C10,9),N$5&gt;ROUND($C10,9),N$5-1&lt;ROUND($D10,9)),"█","")</f>
        <v/>
      </c>
      <c r="O10" s="11">
        <f>IF(AND(ROUND($D10,9)&gt;ROUND($C10,9),O$5&gt;ROUND($C10,9),O$5-1&lt;ROUND($D10,9)),"█","")</f>
        <v/>
      </c>
      <c r="P10" s="11">
        <f>IF(AND(ROUND($D10,9)&gt;ROUND($C10,9),P$5&gt;ROUND($C10,9),P$5-1&lt;ROUND($D10,9)),"█","")</f>
        <v/>
      </c>
      <c r="Q10" s="11">
        <f>IF(AND(ROUND($D10,9)&gt;ROUND($C10,9),Q$5&gt;ROUND($C10,9),Q$5-1&lt;ROUND($D10,9)),"█","")</f>
        <v/>
      </c>
      <c r="R10" s="11">
        <f>IF(AND(ROUND($D10,9)&gt;ROUND($C10,9),R$5&gt;ROUND($C10,9),R$5-1&lt;ROUND($D10,9)),"█","")</f>
        <v/>
      </c>
      <c r="S10" s="11">
        <f>IF(AND(ROUND($D10,9)&gt;ROUND($C10,9),S$5&gt;ROUND($C10,9),S$5-1&lt;ROUND($D10,9)),"█","")</f>
        <v/>
      </c>
      <c r="T10" s="11">
        <f>IF(AND(ROUND($D10,9)&gt;ROUND($C10,9),T$5&gt;ROUND($C10,9),T$5-1&lt;ROUND($D10,9)),"█","")</f>
        <v/>
      </c>
      <c r="U10" s="7" t="str">
        <f>IF(ABS($E$10)&lt;0.000000001,"Actividad Crítica","Holgura de "&amp;ROUND($E$10,4)&amp;" "&amp;IF(ROUND($E$10,4)=1,"semana","semanas"))</f>
        <v>Actividad Crítica</v>
      </c>
    </row>
    <row r="11" spans="1:21">
      <c r="A11" s="7"/>
      <c r="B11" s="10" t="s">
        <v>97</v>
      </c>
      <c r="C11" s="8">
        <f>'CPM'!$G$8</f>
        <v>2</v>
      </c>
      <c r="D11" s="8">
        <f>'CPM'!$H$8</f>
        <v>6</v>
      </c>
      <c r="E11" s="8"/>
      <c r="F11" s="11">
        <f>IF(AND(ROUND($D11,9)&gt;ROUND($C11,9),F$5&gt;ROUND($C11,9),F$5-1&lt;ROUND($D11,9)),"█","")</f>
        <v/>
      </c>
      <c r="G11" s="11">
        <f>IF(AND(ROUND($D11,9)&gt;ROUND($C11,9),G$5&gt;ROUND($C11,9),G$5-1&lt;ROUND($D11,9)),"█","")</f>
        <v/>
      </c>
      <c r="H11" s="11" t="str">
        <f>IF(AND(ROUND($D11,9)&gt;ROUND($C11,9),H$5&gt;ROUND($C11,9),H$5-1&lt;ROUND($D11,9)),"█","")</f>
        <v>█</v>
      </c>
      <c r="I11" s="11" t="str">
        <f>IF(AND(ROUND($D11,9)&gt;ROUND($C11,9),I$5&gt;ROUND($C11,9),I$5-1&lt;ROUND($D11,9)),"█","")</f>
        <v>█</v>
      </c>
      <c r="J11" s="11" t="str">
        <f>IF(AND(ROUND($D11,9)&gt;ROUND($C11,9),J$5&gt;ROUND($C11,9),J$5-1&lt;ROUND($D11,9)),"█","")</f>
        <v>█</v>
      </c>
      <c r="K11" s="11" t="str">
        <f>IF(AND(ROUND($D11,9)&gt;ROUND($C11,9),K$5&gt;ROUND($C11,9),K$5-1&lt;ROUND($D11,9)),"█","")</f>
        <v>█</v>
      </c>
      <c r="L11" s="11">
        <f>IF(AND(ROUND($D11,9)&gt;ROUND($C11,9),L$5&gt;ROUND($C11,9),L$5-1&lt;ROUND($D11,9)),"█","")</f>
        <v/>
      </c>
      <c r="M11" s="11">
        <f>IF(AND(ROUND($D11,9)&gt;ROUND($C11,9),M$5&gt;ROUND($C11,9),M$5-1&lt;ROUND($D11,9)),"█","")</f>
        <v/>
      </c>
      <c r="N11" s="11">
        <f>IF(AND(ROUND($D11,9)&gt;ROUND($C11,9),N$5&gt;ROUND($C11,9),N$5-1&lt;ROUND($D11,9)),"█","")</f>
        <v/>
      </c>
      <c r="O11" s="11">
        <f>IF(AND(ROUND($D11,9)&gt;ROUND($C11,9),O$5&gt;ROUND($C11,9),O$5-1&lt;ROUND($D11,9)),"█","")</f>
        <v/>
      </c>
      <c r="P11" s="11">
        <f>IF(AND(ROUND($D11,9)&gt;ROUND($C11,9),P$5&gt;ROUND($C11,9),P$5-1&lt;ROUND($D11,9)),"█","")</f>
        <v/>
      </c>
      <c r="Q11" s="11">
        <f>IF(AND(ROUND($D11,9)&gt;ROUND($C11,9),Q$5&gt;ROUND($C11,9),Q$5-1&lt;ROUND($D11,9)),"█","")</f>
        <v/>
      </c>
      <c r="R11" s="11">
        <f>IF(AND(ROUND($D11,9)&gt;ROUND($C11,9),R$5&gt;ROUND($C11,9),R$5-1&lt;ROUND($D11,9)),"█","")</f>
        <v/>
      </c>
      <c r="S11" s="11">
        <f>IF(AND(ROUND($D11,9)&gt;ROUND($C11,9),S$5&gt;ROUND($C11,9),S$5-1&lt;ROUND($D11,9)),"█","")</f>
        <v/>
      </c>
      <c r="T11" s="11">
        <f>IF(AND(ROUND($D11,9)&gt;ROUND($C11,9),T$5&gt;ROUND($C11,9),T$5-1&lt;ROUND($D11,9)),"█","")</f>
        <v/>
      </c>
      <c r="U11" s="7"/>
    </row>
    <row r="12" spans="1:21">
      <c r="A12" s="7" t="s">
        <v>17</v>
      </c>
      <c r="B12" s="10" t="s">
        <v>96</v>
      </c>
      <c r="C12" s="8">
        <f>'CPM'!$E$9</f>
        <v>5</v>
      </c>
      <c r="D12" s="8">
        <f>'CPM'!$F$9</f>
        <v>10</v>
      </c>
      <c r="E12" s="8">
        <f>'CPM'!$I$9</f>
        <v>3</v>
      </c>
      <c r="F12" s="11">
        <f>IF(AND(ROUND($D12,9)&gt;ROUND($C12,9),F$5&gt;ROUND($C12,9),F$5-1&lt;ROUND($D12,9)),"█","")</f>
        <v/>
      </c>
      <c r="G12" s="11">
        <f>IF(AND(ROUND($D12,9)&gt;ROUND($C12,9),G$5&gt;ROUND($C12,9),G$5-1&lt;ROUND($D12,9)),"█","")</f>
        <v/>
      </c>
      <c r="H12" s="11">
        <f>IF(AND(ROUND($D12,9)&gt;ROUND($C12,9),H$5&gt;ROUND($C12,9),H$5-1&lt;ROUND($D12,9)),"█","")</f>
        <v/>
      </c>
      <c r="I12" s="11">
        <f>IF(AND(ROUND($D12,9)&gt;ROUND($C12,9),I$5&gt;ROUND($C12,9),I$5-1&lt;ROUND($D12,9)),"█","")</f>
        <v/>
      </c>
      <c r="J12" s="11">
        <f>IF(AND(ROUND($D12,9)&gt;ROUND($C12,9),J$5&gt;ROUND($C12,9),J$5-1&lt;ROUND($D12,9)),"█","")</f>
        <v/>
      </c>
      <c r="K12" s="11" t="str">
        <f>IF(AND(ROUND($D12,9)&gt;ROUND($C12,9),K$5&gt;ROUND($C12,9),K$5-1&lt;ROUND($D12,9)),"█","")</f>
        <v>█</v>
      </c>
      <c r="L12" s="11" t="str">
        <f>IF(AND(ROUND($D12,9)&gt;ROUND($C12,9),L$5&gt;ROUND($C12,9),L$5-1&lt;ROUND($D12,9)),"█","")</f>
        <v>█</v>
      </c>
      <c r="M12" s="11" t="str">
        <f>IF(AND(ROUND($D12,9)&gt;ROUND($C12,9),M$5&gt;ROUND($C12,9),M$5-1&lt;ROUND($D12,9)),"█","")</f>
        <v>█</v>
      </c>
      <c r="N12" s="11" t="str">
        <f>IF(AND(ROUND($D12,9)&gt;ROUND($C12,9),N$5&gt;ROUND($C12,9),N$5-1&lt;ROUND($D12,9)),"█","")</f>
        <v>█</v>
      </c>
      <c r="O12" s="11" t="str">
        <f>IF(AND(ROUND($D12,9)&gt;ROUND($C12,9),O$5&gt;ROUND($C12,9),O$5-1&lt;ROUND($D12,9)),"█","")</f>
        <v>█</v>
      </c>
      <c r="P12" s="11">
        <f>IF(AND(ROUND($D12,9)&gt;ROUND($C12,9),P$5&gt;ROUND($C12,9),P$5-1&lt;ROUND($D12,9)),"█","")</f>
        <v/>
      </c>
      <c r="Q12" s="11">
        <f>IF(AND(ROUND($D12,9)&gt;ROUND($C12,9),Q$5&gt;ROUND($C12,9),Q$5-1&lt;ROUND($D12,9)),"█","")</f>
        <v/>
      </c>
      <c r="R12" s="11">
        <f>IF(AND(ROUND($D12,9)&gt;ROUND($C12,9),R$5&gt;ROUND($C12,9),R$5-1&lt;ROUND($D12,9)),"█","")</f>
        <v/>
      </c>
      <c r="S12" s="11">
        <f>IF(AND(ROUND($D12,9)&gt;ROUND($C12,9),S$5&gt;ROUND($C12,9),S$5-1&lt;ROUND($D12,9)),"█","")</f>
        <v/>
      </c>
      <c r="T12" s="11">
        <f>IF(AND(ROUND($D12,9)&gt;ROUND($C12,9),T$5&gt;ROUND($C12,9),T$5-1&lt;ROUND($D12,9)),"█","")</f>
        <v/>
      </c>
      <c r="U12" s="7" t="str">
        <f>IF(ABS($E$12)&lt;0.000000001,"Actividad Crítica","Holgura de "&amp;ROUND($E$12,4)&amp;" "&amp;IF(ROUND($E$12,4)=1,"semana","semanas"))</f>
        <v>Holgura de 3 semanas</v>
      </c>
    </row>
    <row r="13" spans="1:21">
      <c r="A13" s="7"/>
      <c r="B13" s="10" t="s">
        <v>97</v>
      </c>
      <c r="C13" s="8">
        <f>'CPM'!$G$9</f>
        <v>8</v>
      </c>
      <c r="D13" s="8">
        <f>'CPM'!$H$9</f>
        <v>13</v>
      </c>
      <c r="E13" s="8"/>
      <c r="F13" s="11">
        <f>IF(AND(ROUND($D13,9)&gt;ROUND($C13,9),F$5&gt;ROUND($C13,9),F$5-1&lt;ROUND($D13,9)),"█","")</f>
        <v/>
      </c>
      <c r="G13" s="11">
        <f>IF(AND(ROUND($D13,9)&gt;ROUND($C13,9),G$5&gt;ROUND($C13,9),G$5-1&lt;ROUND($D13,9)),"█","")</f>
        <v/>
      </c>
      <c r="H13" s="11">
        <f>IF(AND(ROUND($D13,9)&gt;ROUND($C13,9),H$5&gt;ROUND($C13,9),H$5-1&lt;ROUND($D13,9)),"█","")</f>
        <v/>
      </c>
      <c r="I13" s="11">
        <f>IF(AND(ROUND($D13,9)&gt;ROUND($C13,9),I$5&gt;ROUND($C13,9),I$5-1&lt;ROUND($D13,9)),"█","")</f>
        <v/>
      </c>
      <c r="J13" s="11">
        <f>IF(AND(ROUND($D13,9)&gt;ROUND($C13,9),J$5&gt;ROUND($C13,9),J$5-1&lt;ROUND($D13,9)),"█","")</f>
        <v/>
      </c>
      <c r="K13" s="11">
        <f>IF(AND(ROUND($D13,9)&gt;ROUND($C13,9),K$5&gt;ROUND($C13,9),K$5-1&lt;ROUND($D13,9)),"█","")</f>
        <v/>
      </c>
      <c r="L13" s="11">
        <f>IF(AND(ROUND($D13,9)&gt;ROUND($C13,9),L$5&gt;ROUND($C13,9),L$5-1&lt;ROUND($D13,9)),"█","")</f>
        <v/>
      </c>
      <c r="M13" s="11">
        <f>IF(AND(ROUND($D13,9)&gt;ROUND($C13,9),M$5&gt;ROUND($C13,9),M$5-1&lt;ROUND($D13,9)),"█","")</f>
        <v/>
      </c>
      <c r="N13" s="11" t="str">
        <f>IF(AND(ROUND($D13,9)&gt;ROUND($C13,9),N$5&gt;ROUND($C13,9),N$5-1&lt;ROUND($D13,9)),"█","")</f>
        <v>█</v>
      </c>
      <c r="O13" s="11" t="str">
        <f>IF(AND(ROUND($D13,9)&gt;ROUND($C13,9),O$5&gt;ROUND($C13,9),O$5-1&lt;ROUND($D13,9)),"█","")</f>
        <v>█</v>
      </c>
      <c r="P13" s="11" t="str">
        <f>IF(AND(ROUND($D13,9)&gt;ROUND($C13,9),P$5&gt;ROUND($C13,9),P$5-1&lt;ROUND($D13,9)),"█","")</f>
        <v>█</v>
      </c>
      <c r="Q13" s="11" t="str">
        <f>IF(AND(ROUND($D13,9)&gt;ROUND($C13,9),Q$5&gt;ROUND($C13,9),Q$5-1&lt;ROUND($D13,9)),"█","")</f>
        <v>█</v>
      </c>
      <c r="R13" s="11" t="str">
        <f>IF(AND(ROUND($D13,9)&gt;ROUND($C13,9),R$5&gt;ROUND($C13,9),R$5-1&lt;ROUND($D13,9)),"█","")</f>
        <v>█</v>
      </c>
      <c r="S13" s="11">
        <f>IF(AND(ROUND($D13,9)&gt;ROUND($C13,9),S$5&gt;ROUND($C13,9),S$5-1&lt;ROUND($D13,9)),"█","")</f>
        <v/>
      </c>
      <c r="T13" s="11">
        <f>IF(AND(ROUND($D13,9)&gt;ROUND($C13,9),T$5&gt;ROUND($C13,9),T$5-1&lt;ROUND($D13,9)),"█","")</f>
        <v/>
      </c>
      <c r="U13" s="7"/>
    </row>
    <row r="14" spans="1:21">
      <c r="A14" s="7" t="s">
        <v>18</v>
      </c>
      <c r="B14" s="10" t="s">
        <v>96</v>
      </c>
      <c r="C14" s="8">
        <f>'CPM'!$E$10</f>
        <v>10</v>
      </c>
      <c r="D14" s="8">
        <f>'CPM'!$F$10</f>
        <v>12</v>
      </c>
      <c r="E14" s="8">
        <f>'CPM'!$I$10</f>
        <v>3</v>
      </c>
      <c r="F14" s="11">
        <f>IF(AND(ROUND($D14,9)&gt;ROUND($C14,9),F$5&gt;ROUND($C14,9),F$5-1&lt;ROUND($D14,9)),"█","")</f>
        <v/>
      </c>
      <c r="G14" s="11">
        <f>IF(AND(ROUND($D14,9)&gt;ROUND($C14,9),G$5&gt;ROUND($C14,9),G$5-1&lt;ROUND($D14,9)),"█","")</f>
        <v/>
      </c>
      <c r="H14" s="11">
        <f>IF(AND(ROUND($D14,9)&gt;ROUND($C14,9),H$5&gt;ROUND($C14,9),H$5-1&lt;ROUND($D14,9)),"█","")</f>
        <v/>
      </c>
      <c r="I14" s="11">
        <f>IF(AND(ROUND($D14,9)&gt;ROUND($C14,9),I$5&gt;ROUND($C14,9),I$5-1&lt;ROUND($D14,9)),"█","")</f>
        <v/>
      </c>
      <c r="J14" s="11">
        <f>IF(AND(ROUND($D14,9)&gt;ROUND($C14,9),J$5&gt;ROUND($C14,9),J$5-1&lt;ROUND($D14,9)),"█","")</f>
        <v/>
      </c>
      <c r="K14" s="11">
        <f>IF(AND(ROUND($D14,9)&gt;ROUND($C14,9),K$5&gt;ROUND($C14,9),K$5-1&lt;ROUND($D14,9)),"█","")</f>
        <v/>
      </c>
      <c r="L14" s="11">
        <f>IF(AND(ROUND($D14,9)&gt;ROUND($C14,9),L$5&gt;ROUND($C14,9),L$5-1&lt;ROUND($D14,9)),"█","")</f>
        <v/>
      </c>
      <c r="M14" s="11">
        <f>IF(AND(ROUND($D14,9)&gt;ROUND($C14,9),M$5&gt;ROUND($C14,9),M$5-1&lt;ROUND($D14,9)),"█","")</f>
        <v/>
      </c>
      <c r="N14" s="11">
        <f>IF(AND(ROUND($D14,9)&gt;ROUND($C14,9),N$5&gt;ROUND($C14,9),N$5-1&lt;ROUND($D14,9)),"█","")</f>
        <v/>
      </c>
      <c r="O14" s="11">
        <f>IF(AND(ROUND($D14,9)&gt;ROUND($C14,9),O$5&gt;ROUND($C14,9),O$5-1&lt;ROUND($D14,9)),"█","")</f>
        <v/>
      </c>
      <c r="P14" s="11" t="str">
        <f>IF(AND(ROUND($D14,9)&gt;ROUND($C14,9),P$5&gt;ROUND($C14,9),P$5-1&lt;ROUND($D14,9)),"█","")</f>
        <v>█</v>
      </c>
      <c r="Q14" s="11" t="str">
        <f>IF(AND(ROUND($D14,9)&gt;ROUND($C14,9),Q$5&gt;ROUND($C14,9),Q$5-1&lt;ROUND($D14,9)),"█","")</f>
        <v>█</v>
      </c>
      <c r="R14" s="11">
        <f>IF(AND(ROUND($D14,9)&gt;ROUND($C14,9),R$5&gt;ROUND($C14,9),R$5-1&lt;ROUND($D14,9)),"█","")</f>
        <v/>
      </c>
      <c r="S14" s="11">
        <f>IF(AND(ROUND($D14,9)&gt;ROUND($C14,9),S$5&gt;ROUND($C14,9),S$5-1&lt;ROUND($D14,9)),"█","")</f>
        <v/>
      </c>
      <c r="T14" s="11">
        <f>IF(AND(ROUND($D14,9)&gt;ROUND($C14,9),T$5&gt;ROUND($C14,9),T$5-1&lt;ROUND($D14,9)),"█","")</f>
        <v/>
      </c>
      <c r="U14" s="7" t="str">
        <f>IF(ABS($E$14)&lt;0.000000001,"Actividad Crítica","Holgura de "&amp;ROUND($E$14,4)&amp;" "&amp;IF(ROUND($E$14,4)=1,"semana","semanas"))</f>
        <v>Holgura de 3 semanas</v>
      </c>
    </row>
    <row r="15" spans="1:21">
      <c r="A15" s="7"/>
      <c r="B15" s="10" t="s">
        <v>97</v>
      </c>
      <c r="C15" s="8">
        <f>'CPM'!$G$10</f>
        <v>13</v>
      </c>
      <c r="D15" s="8">
        <f>'CPM'!$H$10</f>
        <v>15</v>
      </c>
      <c r="E15" s="8"/>
      <c r="F15" s="11">
        <f>IF(AND(ROUND($D15,9)&gt;ROUND($C15,9),F$5&gt;ROUND($C15,9),F$5-1&lt;ROUND($D15,9)),"█","")</f>
        <v/>
      </c>
      <c r="G15" s="11">
        <f>IF(AND(ROUND($D15,9)&gt;ROUND($C15,9),G$5&gt;ROUND($C15,9),G$5-1&lt;ROUND($D15,9)),"█","")</f>
        <v/>
      </c>
      <c r="H15" s="11">
        <f>IF(AND(ROUND($D15,9)&gt;ROUND($C15,9),H$5&gt;ROUND($C15,9),H$5-1&lt;ROUND($D15,9)),"█","")</f>
        <v/>
      </c>
      <c r="I15" s="11">
        <f>IF(AND(ROUND($D15,9)&gt;ROUND($C15,9),I$5&gt;ROUND($C15,9),I$5-1&lt;ROUND($D15,9)),"█","")</f>
        <v/>
      </c>
      <c r="J15" s="11">
        <f>IF(AND(ROUND($D15,9)&gt;ROUND($C15,9),J$5&gt;ROUND($C15,9),J$5-1&lt;ROUND($D15,9)),"█","")</f>
        <v/>
      </c>
      <c r="K15" s="11">
        <f>IF(AND(ROUND($D15,9)&gt;ROUND($C15,9),K$5&gt;ROUND($C15,9),K$5-1&lt;ROUND($D15,9)),"█","")</f>
        <v/>
      </c>
      <c r="L15" s="11">
        <f>IF(AND(ROUND($D15,9)&gt;ROUND($C15,9),L$5&gt;ROUND($C15,9),L$5-1&lt;ROUND($D15,9)),"█","")</f>
        <v/>
      </c>
      <c r="M15" s="11">
        <f>IF(AND(ROUND($D15,9)&gt;ROUND($C15,9),M$5&gt;ROUND($C15,9),M$5-1&lt;ROUND($D15,9)),"█","")</f>
        <v/>
      </c>
      <c r="N15" s="11">
        <f>IF(AND(ROUND($D15,9)&gt;ROUND($C15,9),N$5&gt;ROUND($C15,9),N$5-1&lt;ROUND($D15,9)),"█","")</f>
        <v/>
      </c>
      <c r="O15" s="11">
        <f>IF(AND(ROUND($D15,9)&gt;ROUND($C15,9),O$5&gt;ROUND($C15,9),O$5-1&lt;ROUND($D15,9)),"█","")</f>
        <v/>
      </c>
      <c r="P15" s="11">
        <f>IF(AND(ROUND($D15,9)&gt;ROUND($C15,9),P$5&gt;ROUND($C15,9),P$5-1&lt;ROUND($D15,9)),"█","")</f>
        <v/>
      </c>
      <c r="Q15" s="11">
        <f>IF(AND(ROUND($D15,9)&gt;ROUND($C15,9),Q$5&gt;ROUND($C15,9),Q$5-1&lt;ROUND($D15,9)),"█","")</f>
        <v/>
      </c>
      <c r="R15" s="11">
        <f>IF(AND(ROUND($D15,9)&gt;ROUND($C15,9),R$5&gt;ROUND($C15,9),R$5-1&lt;ROUND($D15,9)),"█","")</f>
        <v/>
      </c>
      <c r="S15" s="11" t="str">
        <f>IF(AND(ROUND($D15,9)&gt;ROUND($C15,9),S$5&gt;ROUND($C15,9),S$5-1&lt;ROUND($D15,9)),"█","")</f>
        <v>█</v>
      </c>
      <c r="T15" s="11" t="str">
        <f>IF(AND(ROUND($D15,9)&gt;ROUND($C15,9),T$5&gt;ROUND($C15,9),T$5-1&lt;ROUND($D15,9)),"█","")</f>
        <v>█</v>
      </c>
      <c r="U15" s="7"/>
    </row>
    <row r="16" spans="1:21">
      <c r="A16" s="7" t="s">
        <v>19</v>
      </c>
      <c r="B16" s="10" t="s">
        <v>96</v>
      </c>
      <c r="C16" s="8">
        <f>'CPM'!$E$11</f>
        <v>6</v>
      </c>
      <c r="D16" s="8">
        <f>'CPM'!$F$11</f>
        <v>7</v>
      </c>
      <c r="E16" s="8">
        <f>'CPM'!$I$11</f>
        <v>0</v>
      </c>
      <c r="F16" s="11">
        <f>IF(AND(ROUND($D16,9)&gt;ROUND($C16,9),F$5&gt;ROUND($C16,9),F$5-1&lt;ROUND($D16,9)),"█","")</f>
        <v/>
      </c>
      <c r="G16" s="11">
        <f>IF(AND(ROUND($D16,9)&gt;ROUND($C16,9),G$5&gt;ROUND($C16,9),G$5-1&lt;ROUND($D16,9)),"█","")</f>
        <v/>
      </c>
      <c r="H16" s="11">
        <f>IF(AND(ROUND($D16,9)&gt;ROUND($C16,9),H$5&gt;ROUND($C16,9),H$5-1&lt;ROUND($D16,9)),"█","")</f>
        <v/>
      </c>
      <c r="I16" s="11">
        <f>IF(AND(ROUND($D16,9)&gt;ROUND($C16,9),I$5&gt;ROUND($C16,9),I$5-1&lt;ROUND($D16,9)),"█","")</f>
        <v/>
      </c>
      <c r="J16" s="11">
        <f>IF(AND(ROUND($D16,9)&gt;ROUND($C16,9),J$5&gt;ROUND($C16,9),J$5-1&lt;ROUND($D16,9)),"█","")</f>
        <v/>
      </c>
      <c r="K16" s="11">
        <f>IF(AND(ROUND($D16,9)&gt;ROUND($C16,9),K$5&gt;ROUND($C16,9),K$5-1&lt;ROUND($D16,9)),"█","")</f>
        <v/>
      </c>
      <c r="L16" s="11" t="str">
        <f>IF(AND(ROUND($D16,9)&gt;ROUND($C16,9),L$5&gt;ROUND($C16,9),L$5-1&lt;ROUND($D16,9)),"█","")</f>
        <v>█</v>
      </c>
      <c r="M16" s="11">
        <f>IF(AND(ROUND($D16,9)&gt;ROUND($C16,9),M$5&gt;ROUND($C16,9),M$5-1&lt;ROUND($D16,9)),"█","")</f>
        <v/>
      </c>
      <c r="N16" s="11">
        <f>IF(AND(ROUND($D16,9)&gt;ROUND($C16,9),N$5&gt;ROUND($C16,9),N$5-1&lt;ROUND($D16,9)),"█","")</f>
        <v/>
      </c>
      <c r="O16" s="11">
        <f>IF(AND(ROUND($D16,9)&gt;ROUND($C16,9),O$5&gt;ROUND($C16,9),O$5-1&lt;ROUND($D16,9)),"█","")</f>
        <v/>
      </c>
      <c r="P16" s="11">
        <f>IF(AND(ROUND($D16,9)&gt;ROUND($C16,9),P$5&gt;ROUND($C16,9),P$5-1&lt;ROUND($D16,9)),"█","")</f>
        <v/>
      </c>
      <c r="Q16" s="11">
        <f>IF(AND(ROUND($D16,9)&gt;ROUND($C16,9),Q$5&gt;ROUND($C16,9),Q$5-1&lt;ROUND($D16,9)),"█","")</f>
        <v/>
      </c>
      <c r="R16" s="11">
        <f>IF(AND(ROUND($D16,9)&gt;ROUND($C16,9),R$5&gt;ROUND($C16,9),R$5-1&lt;ROUND($D16,9)),"█","")</f>
        <v/>
      </c>
      <c r="S16" s="11">
        <f>IF(AND(ROUND($D16,9)&gt;ROUND($C16,9),S$5&gt;ROUND($C16,9),S$5-1&lt;ROUND($D16,9)),"█","")</f>
        <v/>
      </c>
      <c r="T16" s="11">
        <f>IF(AND(ROUND($D16,9)&gt;ROUND($C16,9),T$5&gt;ROUND($C16,9),T$5-1&lt;ROUND($D16,9)),"█","")</f>
        <v/>
      </c>
      <c r="U16" s="7" t="str">
        <f>IF(ABS($E$16)&lt;0.000000001,"Actividad Crítica","Holgura de "&amp;ROUND($E$16,4)&amp;" "&amp;IF(ROUND($E$16,4)=1,"semana","semanas"))</f>
        <v>Actividad Crítica</v>
      </c>
    </row>
    <row r="17" spans="1:21">
      <c r="A17" s="7"/>
      <c r="B17" s="10" t="s">
        <v>97</v>
      </c>
      <c r="C17" s="8">
        <f>'CPM'!$G$11</f>
        <v>6</v>
      </c>
      <c r="D17" s="8">
        <f>'CPM'!$H$11</f>
        <v>7</v>
      </c>
      <c r="E17" s="8"/>
      <c r="F17" s="11">
        <f>IF(AND(ROUND($D17,9)&gt;ROUND($C17,9),F$5&gt;ROUND($C17,9),F$5-1&lt;ROUND($D17,9)),"█","")</f>
        <v/>
      </c>
      <c r="G17" s="11">
        <f>IF(AND(ROUND($D17,9)&gt;ROUND($C17,9),G$5&gt;ROUND($C17,9),G$5-1&lt;ROUND($D17,9)),"█","")</f>
        <v/>
      </c>
      <c r="H17" s="11">
        <f>IF(AND(ROUND($D17,9)&gt;ROUND($C17,9),H$5&gt;ROUND($C17,9),H$5-1&lt;ROUND($D17,9)),"█","")</f>
        <v/>
      </c>
      <c r="I17" s="11">
        <f>IF(AND(ROUND($D17,9)&gt;ROUND($C17,9),I$5&gt;ROUND($C17,9),I$5-1&lt;ROUND($D17,9)),"█","")</f>
        <v/>
      </c>
      <c r="J17" s="11">
        <f>IF(AND(ROUND($D17,9)&gt;ROUND($C17,9),J$5&gt;ROUND($C17,9),J$5-1&lt;ROUND($D17,9)),"█","")</f>
        <v/>
      </c>
      <c r="K17" s="11">
        <f>IF(AND(ROUND($D17,9)&gt;ROUND($C17,9),K$5&gt;ROUND($C17,9),K$5-1&lt;ROUND($D17,9)),"█","")</f>
        <v/>
      </c>
      <c r="L17" s="11" t="str">
        <f>IF(AND(ROUND($D17,9)&gt;ROUND($C17,9),L$5&gt;ROUND($C17,9),L$5-1&lt;ROUND($D17,9)),"█","")</f>
        <v>█</v>
      </c>
      <c r="M17" s="11">
        <f>IF(AND(ROUND($D17,9)&gt;ROUND($C17,9),M$5&gt;ROUND($C17,9),M$5-1&lt;ROUND($D17,9)),"█","")</f>
        <v/>
      </c>
      <c r="N17" s="11">
        <f>IF(AND(ROUND($D17,9)&gt;ROUND($C17,9),N$5&gt;ROUND($C17,9),N$5-1&lt;ROUND($D17,9)),"█","")</f>
        <v/>
      </c>
      <c r="O17" s="11">
        <f>IF(AND(ROUND($D17,9)&gt;ROUND($C17,9),O$5&gt;ROUND($C17,9),O$5-1&lt;ROUND($D17,9)),"█","")</f>
        <v/>
      </c>
      <c r="P17" s="11">
        <f>IF(AND(ROUND($D17,9)&gt;ROUND($C17,9),P$5&gt;ROUND($C17,9),P$5-1&lt;ROUND($D17,9)),"█","")</f>
        <v/>
      </c>
      <c r="Q17" s="11">
        <f>IF(AND(ROUND($D17,9)&gt;ROUND($C17,9),Q$5&gt;ROUND($C17,9),Q$5-1&lt;ROUND($D17,9)),"█","")</f>
        <v/>
      </c>
      <c r="R17" s="11">
        <f>IF(AND(ROUND($D17,9)&gt;ROUND($C17,9),R$5&gt;ROUND($C17,9),R$5-1&lt;ROUND($D17,9)),"█","")</f>
        <v/>
      </c>
      <c r="S17" s="11">
        <f>IF(AND(ROUND($D17,9)&gt;ROUND($C17,9),S$5&gt;ROUND($C17,9),S$5-1&lt;ROUND($D17,9)),"█","")</f>
        <v/>
      </c>
      <c r="T17" s="11">
        <f>IF(AND(ROUND($D17,9)&gt;ROUND($C17,9),T$5&gt;ROUND($C17,9),T$5-1&lt;ROUND($D17,9)),"█","")</f>
        <v/>
      </c>
      <c r="U17" s="7"/>
    </row>
    <row r="18" spans="1:21">
      <c r="A18" s="7" t="s">
        <v>21</v>
      </c>
      <c r="B18" s="10" t="s">
        <v>96</v>
      </c>
      <c r="C18" s="8">
        <f>'CPM'!$E$12</f>
        <v>6</v>
      </c>
      <c r="D18" s="8">
        <f>'CPM'!$F$12</f>
        <v>7</v>
      </c>
      <c r="E18" s="8">
        <f>'CPM'!$I$12</f>
        <v>4</v>
      </c>
      <c r="F18" s="11">
        <f>IF(AND(ROUND($D18,9)&gt;ROUND($C18,9),F$5&gt;ROUND($C18,9),F$5-1&lt;ROUND($D18,9)),"█","")</f>
        <v/>
      </c>
      <c r="G18" s="11">
        <f>IF(AND(ROUND($D18,9)&gt;ROUND($C18,9),G$5&gt;ROUND($C18,9),G$5-1&lt;ROUND($D18,9)),"█","")</f>
        <v/>
      </c>
      <c r="H18" s="11">
        <f>IF(AND(ROUND($D18,9)&gt;ROUND($C18,9),H$5&gt;ROUND($C18,9),H$5-1&lt;ROUND($D18,9)),"█","")</f>
        <v/>
      </c>
      <c r="I18" s="11">
        <f>IF(AND(ROUND($D18,9)&gt;ROUND($C18,9),I$5&gt;ROUND($C18,9),I$5-1&lt;ROUND($D18,9)),"█","")</f>
        <v/>
      </c>
      <c r="J18" s="11">
        <f>IF(AND(ROUND($D18,9)&gt;ROUND($C18,9),J$5&gt;ROUND($C18,9),J$5-1&lt;ROUND($D18,9)),"█","")</f>
        <v/>
      </c>
      <c r="K18" s="11">
        <f>IF(AND(ROUND($D18,9)&gt;ROUND($C18,9),K$5&gt;ROUND($C18,9),K$5-1&lt;ROUND($D18,9)),"█","")</f>
        <v/>
      </c>
      <c r="L18" s="11" t="str">
        <f>IF(AND(ROUND($D18,9)&gt;ROUND($C18,9),L$5&gt;ROUND($C18,9),L$5-1&lt;ROUND($D18,9)),"█","")</f>
        <v>█</v>
      </c>
      <c r="M18" s="11">
        <f>IF(AND(ROUND($D18,9)&gt;ROUND($C18,9),M$5&gt;ROUND($C18,9),M$5-1&lt;ROUND($D18,9)),"█","")</f>
        <v/>
      </c>
      <c r="N18" s="11">
        <f>IF(AND(ROUND($D18,9)&gt;ROUND($C18,9),N$5&gt;ROUND($C18,9),N$5-1&lt;ROUND($D18,9)),"█","")</f>
        <v/>
      </c>
      <c r="O18" s="11">
        <f>IF(AND(ROUND($D18,9)&gt;ROUND($C18,9),O$5&gt;ROUND($C18,9),O$5-1&lt;ROUND($D18,9)),"█","")</f>
        <v/>
      </c>
      <c r="P18" s="11">
        <f>IF(AND(ROUND($D18,9)&gt;ROUND($C18,9),P$5&gt;ROUND($C18,9),P$5-1&lt;ROUND($D18,9)),"█","")</f>
        <v/>
      </c>
      <c r="Q18" s="11">
        <f>IF(AND(ROUND($D18,9)&gt;ROUND($C18,9),Q$5&gt;ROUND($C18,9),Q$5-1&lt;ROUND($D18,9)),"█","")</f>
        <v/>
      </c>
      <c r="R18" s="11">
        <f>IF(AND(ROUND($D18,9)&gt;ROUND($C18,9),R$5&gt;ROUND($C18,9),R$5-1&lt;ROUND($D18,9)),"█","")</f>
        <v/>
      </c>
      <c r="S18" s="11">
        <f>IF(AND(ROUND($D18,9)&gt;ROUND($C18,9),S$5&gt;ROUND($C18,9),S$5-1&lt;ROUND($D18,9)),"█","")</f>
        <v/>
      </c>
      <c r="T18" s="11">
        <f>IF(AND(ROUND($D18,9)&gt;ROUND($C18,9),T$5&gt;ROUND($C18,9),T$5-1&lt;ROUND($D18,9)),"█","")</f>
        <v/>
      </c>
      <c r="U18" s="7" t="str">
        <f>IF(ABS($E$18)&lt;0.000000001,"Actividad Crítica","Holgura de "&amp;ROUND($E$18,4)&amp;" "&amp;IF(ROUND($E$18,4)=1,"semana","semanas"))</f>
        <v>Holgura de 4 semanas</v>
      </c>
    </row>
    <row r="19" spans="1:21">
      <c r="A19" s="7"/>
      <c r="B19" s="10" t="s">
        <v>97</v>
      </c>
      <c r="C19" s="8">
        <f>'CPM'!$G$12</f>
        <v>10</v>
      </c>
      <c r="D19" s="8">
        <f>'CPM'!$H$12</f>
        <v>11</v>
      </c>
      <c r="E19" s="8"/>
      <c r="F19" s="11">
        <f>IF(AND(ROUND($D19,9)&gt;ROUND($C19,9),F$5&gt;ROUND($C19,9),F$5-1&lt;ROUND($D19,9)),"█","")</f>
        <v/>
      </c>
      <c r="G19" s="11">
        <f>IF(AND(ROUND($D19,9)&gt;ROUND($C19,9),G$5&gt;ROUND($C19,9),G$5-1&lt;ROUND($D19,9)),"█","")</f>
        <v/>
      </c>
      <c r="H19" s="11">
        <f>IF(AND(ROUND($D19,9)&gt;ROUND($C19,9),H$5&gt;ROUND($C19,9),H$5-1&lt;ROUND($D19,9)),"█","")</f>
        <v/>
      </c>
      <c r="I19" s="11">
        <f>IF(AND(ROUND($D19,9)&gt;ROUND($C19,9),I$5&gt;ROUND($C19,9),I$5-1&lt;ROUND($D19,9)),"█","")</f>
        <v/>
      </c>
      <c r="J19" s="11">
        <f>IF(AND(ROUND($D19,9)&gt;ROUND($C19,9),J$5&gt;ROUND($C19,9),J$5-1&lt;ROUND($D19,9)),"█","")</f>
        <v/>
      </c>
      <c r="K19" s="11">
        <f>IF(AND(ROUND($D19,9)&gt;ROUND($C19,9),K$5&gt;ROUND($C19,9),K$5-1&lt;ROUND($D19,9)),"█","")</f>
        <v/>
      </c>
      <c r="L19" s="11">
        <f>IF(AND(ROUND($D19,9)&gt;ROUND($C19,9),L$5&gt;ROUND($C19,9),L$5-1&lt;ROUND($D19,9)),"█","")</f>
        <v/>
      </c>
      <c r="M19" s="11">
        <f>IF(AND(ROUND($D19,9)&gt;ROUND($C19,9),M$5&gt;ROUND($C19,9),M$5-1&lt;ROUND($D19,9)),"█","")</f>
        <v/>
      </c>
      <c r="N19" s="11">
        <f>IF(AND(ROUND($D19,9)&gt;ROUND($C19,9),N$5&gt;ROUND($C19,9),N$5-1&lt;ROUND($D19,9)),"█","")</f>
        <v/>
      </c>
      <c r="O19" s="11">
        <f>IF(AND(ROUND($D19,9)&gt;ROUND($C19,9),O$5&gt;ROUND($C19,9),O$5-1&lt;ROUND($D19,9)),"█","")</f>
        <v/>
      </c>
      <c r="P19" s="11" t="str">
        <f>IF(AND(ROUND($D19,9)&gt;ROUND($C19,9),P$5&gt;ROUND($C19,9),P$5-1&lt;ROUND($D19,9)),"█","")</f>
        <v>█</v>
      </c>
      <c r="Q19" s="11">
        <f>IF(AND(ROUND($D19,9)&gt;ROUND($C19,9),Q$5&gt;ROUND($C19,9),Q$5-1&lt;ROUND($D19,9)),"█","")</f>
        <v/>
      </c>
      <c r="R19" s="11">
        <f>IF(AND(ROUND($D19,9)&gt;ROUND($C19,9),R$5&gt;ROUND($C19,9),R$5-1&lt;ROUND($D19,9)),"█","")</f>
        <v/>
      </c>
      <c r="S19" s="11">
        <f>IF(AND(ROUND($D19,9)&gt;ROUND($C19,9),S$5&gt;ROUND($C19,9),S$5-1&lt;ROUND($D19,9)),"█","")</f>
        <v/>
      </c>
      <c r="T19" s="11">
        <f>IF(AND(ROUND($D19,9)&gt;ROUND($C19,9),T$5&gt;ROUND($C19,9),T$5-1&lt;ROUND($D19,9)),"█","")</f>
        <v/>
      </c>
      <c r="U19" s="7"/>
    </row>
    <row r="20" spans="1:21">
      <c r="A20" s="7" t="s">
        <v>22</v>
      </c>
      <c r="B20" s="10" t="s">
        <v>96</v>
      </c>
      <c r="C20" s="8">
        <f>'CPM'!$E$13</f>
        <v>7</v>
      </c>
      <c r="D20" s="8">
        <f>'CPM'!$F$13</f>
        <v>10</v>
      </c>
      <c r="E20" s="8">
        <f>'CPM'!$I$13</f>
        <v>0</v>
      </c>
      <c r="F20" s="11">
        <f>IF(AND(ROUND($D20,9)&gt;ROUND($C20,9),F$5&gt;ROUND($C20,9),F$5-1&lt;ROUND($D20,9)),"█","")</f>
        <v/>
      </c>
      <c r="G20" s="11">
        <f>IF(AND(ROUND($D20,9)&gt;ROUND($C20,9),G$5&gt;ROUND($C20,9),G$5-1&lt;ROUND($D20,9)),"█","")</f>
        <v/>
      </c>
      <c r="H20" s="11">
        <f>IF(AND(ROUND($D20,9)&gt;ROUND($C20,9),H$5&gt;ROUND($C20,9),H$5-1&lt;ROUND($D20,9)),"█","")</f>
        <v/>
      </c>
      <c r="I20" s="11">
        <f>IF(AND(ROUND($D20,9)&gt;ROUND($C20,9),I$5&gt;ROUND($C20,9),I$5-1&lt;ROUND($D20,9)),"█","")</f>
        <v/>
      </c>
      <c r="J20" s="11">
        <f>IF(AND(ROUND($D20,9)&gt;ROUND($C20,9),J$5&gt;ROUND($C20,9),J$5-1&lt;ROUND($D20,9)),"█","")</f>
        <v/>
      </c>
      <c r="K20" s="11">
        <f>IF(AND(ROUND($D20,9)&gt;ROUND($C20,9),K$5&gt;ROUND($C20,9),K$5-1&lt;ROUND($D20,9)),"█","")</f>
        <v/>
      </c>
      <c r="L20" s="11">
        <f>IF(AND(ROUND($D20,9)&gt;ROUND($C20,9),L$5&gt;ROUND($C20,9),L$5-1&lt;ROUND($D20,9)),"█","")</f>
        <v/>
      </c>
      <c r="M20" s="11" t="str">
        <f>IF(AND(ROUND($D20,9)&gt;ROUND($C20,9),M$5&gt;ROUND($C20,9),M$5-1&lt;ROUND($D20,9)),"█","")</f>
        <v>█</v>
      </c>
      <c r="N20" s="11" t="str">
        <f>IF(AND(ROUND($D20,9)&gt;ROUND($C20,9),N$5&gt;ROUND($C20,9),N$5-1&lt;ROUND($D20,9)),"█","")</f>
        <v>█</v>
      </c>
      <c r="O20" s="11" t="str">
        <f>IF(AND(ROUND($D20,9)&gt;ROUND($C20,9),O$5&gt;ROUND($C20,9),O$5-1&lt;ROUND($D20,9)),"█","")</f>
        <v>█</v>
      </c>
      <c r="P20" s="11">
        <f>IF(AND(ROUND($D20,9)&gt;ROUND($C20,9),P$5&gt;ROUND($C20,9),P$5-1&lt;ROUND($D20,9)),"█","")</f>
        <v/>
      </c>
      <c r="Q20" s="11">
        <f>IF(AND(ROUND($D20,9)&gt;ROUND($C20,9),Q$5&gt;ROUND($C20,9),Q$5-1&lt;ROUND($D20,9)),"█","")</f>
        <v/>
      </c>
      <c r="R20" s="11">
        <f>IF(AND(ROUND($D20,9)&gt;ROUND($C20,9),R$5&gt;ROUND($C20,9),R$5-1&lt;ROUND($D20,9)),"█","")</f>
        <v/>
      </c>
      <c r="S20" s="11">
        <f>IF(AND(ROUND($D20,9)&gt;ROUND($C20,9),S$5&gt;ROUND($C20,9),S$5-1&lt;ROUND($D20,9)),"█","")</f>
        <v/>
      </c>
      <c r="T20" s="11">
        <f>IF(AND(ROUND($D20,9)&gt;ROUND($C20,9),T$5&gt;ROUND($C20,9),T$5-1&lt;ROUND($D20,9)),"█","")</f>
        <v/>
      </c>
      <c r="U20" s="7" t="str">
        <f>IF(ABS($E$20)&lt;0.000000001,"Actividad Crítica","Holgura de "&amp;ROUND($E$20,4)&amp;" "&amp;IF(ROUND($E$20,4)=1,"semana","semanas"))</f>
        <v>Actividad Crítica</v>
      </c>
    </row>
    <row r="21" spans="1:21">
      <c r="A21" s="7"/>
      <c r="B21" s="10" t="s">
        <v>97</v>
      </c>
      <c r="C21" s="8">
        <f>'CPM'!$G$13</f>
        <v>7</v>
      </c>
      <c r="D21" s="8">
        <f>'CPM'!$H$13</f>
        <v>10</v>
      </c>
      <c r="E21" s="8"/>
      <c r="F21" s="11">
        <f>IF(AND(ROUND($D21,9)&gt;ROUND($C21,9),F$5&gt;ROUND($C21,9),F$5-1&lt;ROUND($D21,9)),"█","")</f>
        <v/>
      </c>
      <c r="G21" s="11">
        <f>IF(AND(ROUND($D21,9)&gt;ROUND($C21,9),G$5&gt;ROUND($C21,9),G$5-1&lt;ROUND($D21,9)),"█","")</f>
        <v/>
      </c>
      <c r="H21" s="11">
        <f>IF(AND(ROUND($D21,9)&gt;ROUND($C21,9),H$5&gt;ROUND($C21,9),H$5-1&lt;ROUND($D21,9)),"█","")</f>
        <v/>
      </c>
      <c r="I21" s="11">
        <f>IF(AND(ROUND($D21,9)&gt;ROUND($C21,9),I$5&gt;ROUND($C21,9),I$5-1&lt;ROUND($D21,9)),"█","")</f>
        <v/>
      </c>
      <c r="J21" s="11">
        <f>IF(AND(ROUND($D21,9)&gt;ROUND($C21,9),J$5&gt;ROUND($C21,9),J$5-1&lt;ROUND($D21,9)),"█","")</f>
        <v/>
      </c>
      <c r="K21" s="11">
        <f>IF(AND(ROUND($D21,9)&gt;ROUND($C21,9),K$5&gt;ROUND($C21,9),K$5-1&lt;ROUND($D21,9)),"█","")</f>
        <v/>
      </c>
      <c r="L21" s="11">
        <f>IF(AND(ROUND($D21,9)&gt;ROUND($C21,9),L$5&gt;ROUND($C21,9),L$5-1&lt;ROUND($D21,9)),"█","")</f>
        <v/>
      </c>
      <c r="M21" s="11" t="str">
        <f>IF(AND(ROUND($D21,9)&gt;ROUND($C21,9),M$5&gt;ROUND($C21,9),M$5-1&lt;ROUND($D21,9)),"█","")</f>
        <v>█</v>
      </c>
      <c r="N21" s="11" t="str">
        <f>IF(AND(ROUND($D21,9)&gt;ROUND($C21,9),N$5&gt;ROUND($C21,9),N$5-1&lt;ROUND($D21,9)),"█","")</f>
        <v>█</v>
      </c>
      <c r="O21" s="11" t="str">
        <f>IF(AND(ROUND($D21,9)&gt;ROUND($C21,9),O$5&gt;ROUND($C21,9),O$5-1&lt;ROUND($D21,9)),"█","")</f>
        <v>█</v>
      </c>
      <c r="P21" s="11">
        <f>IF(AND(ROUND($D21,9)&gt;ROUND($C21,9),P$5&gt;ROUND($C21,9),P$5-1&lt;ROUND($D21,9)),"█","")</f>
        <v/>
      </c>
      <c r="Q21" s="11">
        <f>IF(AND(ROUND($D21,9)&gt;ROUND($C21,9),Q$5&gt;ROUND($C21,9),Q$5-1&lt;ROUND($D21,9)),"█","")</f>
        <v/>
      </c>
      <c r="R21" s="11">
        <f>IF(AND(ROUND($D21,9)&gt;ROUND($C21,9),R$5&gt;ROUND($C21,9),R$5-1&lt;ROUND($D21,9)),"█","")</f>
        <v/>
      </c>
      <c r="S21" s="11">
        <f>IF(AND(ROUND($D21,9)&gt;ROUND($C21,9),S$5&gt;ROUND($C21,9),S$5-1&lt;ROUND($D21,9)),"█","")</f>
        <v/>
      </c>
      <c r="T21" s="11">
        <f>IF(AND(ROUND($D21,9)&gt;ROUND($C21,9),T$5&gt;ROUND($C21,9),T$5-1&lt;ROUND($D21,9)),"█","")</f>
        <v/>
      </c>
      <c r="U21" s="7"/>
    </row>
    <row r="22" spans="1:21">
      <c r="A22" s="7" t="s">
        <v>23</v>
      </c>
      <c r="B22" s="10" t="s">
        <v>96</v>
      </c>
      <c r="C22" s="8">
        <f>'CPM'!$E$14</f>
        <v>7</v>
      </c>
      <c r="D22" s="8">
        <f>'CPM'!$F$14</f>
        <v>11</v>
      </c>
      <c r="E22" s="8">
        <f>'CPM'!$I$14</f>
        <v>4</v>
      </c>
      <c r="F22" s="11">
        <f>IF(AND(ROUND($D22,9)&gt;ROUND($C22,9),F$5&gt;ROUND($C22,9),F$5-1&lt;ROUND($D22,9)),"█","")</f>
        <v/>
      </c>
      <c r="G22" s="11">
        <f>IF(AND(ROUND($D22,9)&gt;ROUND($C22,9),G$5&gt;ROUND($C22,9),G$5-1&lt;ROUND($D22,9)),"█","")</f>
        <v/>
      </c>
      <c r="H22" s="11">
        <f>IF(AND(ROUND($D22,9)&gt;ROUND($C22,9),H$5&gt;ROUND($C22,9),H$5-1&lt;ROUND($D22,9)),"█","")</f>
        <v/>
      </c>
      <c r="I22" s="11">
        <f>IF(AND(ROUND($D22,9)&gt;ROUND($C22,9),I$5&gt;ROUND($C22,9),I$5-1&lt;ROUND($D22,9)),"█","")</f>
        <v/>
      </c>
      <c r="J22" s="11">
        <f>IF(AND(ROUND($D22,9)&gt;ROUND($C22,9),J$5&gt;ROUND($C22,9),J$5-1&lt;ROUND($D22,9)),"█","")</f>
        <v/>
      </c>
      <c r="K22" s="11">
        <f>IF(AND(ROUND($D22,9)&gt;ROUND($C22,9),K$5&gt;ROUND($C22,9),K$5-1&lt;ROUND($D22,9)),"█","")</f>
        <v/>
      </c>
      <c r="L22" s="11">
        <f>IF(AND(ROUND($D22,9)&gt;ROUND($C22,9),L$5&gt;ROUND($C22,9),L$5-1&lt;ROUND($D22,9)),"█","")</f>
        <v/>
      </c>
      <c r="M22" s="11" t="str">
        <f>IF(AND(ROUND($D22,9)&gt;ROUND($C22,9),M$5&gt;ROUND($C22,9),M$5-1&lt;ROUND($D22,9)),"█","")</f>
        <v>█</v>
      </c>
      <c r="N22" s="11" t="str">
        <f>IF(AND(ROUND($D22,9)&gt;ROUND($C22,9),N$5&gt;ROUND($C22,9),N$5-1&lt;ROUND($D22,9)),"█","")</f>
        <v>█</v>
      </c>
      <c r="O22" s="11" t="str">
        <f>IF(AND(ROUND($D22,9)&gt;ROUND($C22,9),O$5&gt;ROUND($C22,9),O$5-1&lt;ROUND($D22,9)),"█","")</f>
        <v>█</v>
      </c>
      <c r="P22" s="11" t="str">
        <f>IF(AND(ROUND($D22,9)&gt;ROUND($C22,9),P$5&gt;ROUND($C22,9),P$5-1&lt;ROUND($D22,9)),"█","")</f>
        <v>█</v>
      </c>
      <c r="Q22" s="11">
        <f>IF(AND(ROUND($D22,9)&gt;ROUND($C22,9),Q$5&gt;ROUND($C22,9),Q$5-1&lt;ROUND($D22,9)),"█","")</f>
        <v/>
      </c>
      <c r="R22" s="11">
        <f>IF(AND(ROUND($D22,9)&gt;ROUND($C22,9),R$5&gt;ROUND($C22,9),R$5-1&lt;ROUND($D22,9)),"█","")</f>
        <v/>
      </c>
      <c r="S22" s="11">
        <f>IF(AND(ROUND($D22,9)&gt;ROUND($C22,9),S$5&gt;ROUND($C22,9),S$5-1&lt;ROUND($D22,9)),"█","")</f>
        <v/>
      </c>
      <c r="T22" s="11">
        <f>IF(AND(ROUND($D22,9)&gt;ROUND($C22,9),T$5&gt;ROUND($C22,9),T$5-1&lt;ROUND($D22,9)),"█","")</f>
        <v/>
      </c>
      <c r="U22" s="7" t="str">
        <f>IF(ABS($E$22)&lt;0.000000001,"Actividad Crítica","Holgura de "&amp;ROUND($E$22,4)&amp;" "&amp;IF(ROUND($E$22,4)=1,"semana","semanas"))</f>
        <v>Holgura de 4 semanas</v>
      </c>
    </row>
    <row r="23" spans="1:21">
      <c r="A23" s="7"/>
      <c r="B23" s="10" t="s">
        <v>97</v>
      </c>
      <c r="C23" s="8">
        <f>'CPM'!$G$14</f>
        <v>11</v>
      </c>
      <c r="D23" s="8">
        <f>'CPM'!$H$14</f>
        <v>15</v>
      </c>
      <c r="E23" s="8"/>
      <c r="F23" s="11">
        <f>IF(AND(ROUND($D23,9)&gt;ROUND($C23,9),F$5&gt;ROUND($C23,9),F$5-1&lt;ROUND($D23,9)),"█","")</f>
        <v/>
      </c>
      <c r="G23" s="11">
        <f>IF(AND(ROUND($D23,9)&gt;ROUND($C23,9),G$5&gt;ROUND($C23,9),G$5-1&lt;ROUND($D23,9)),"█","")</f>
        <v/>
      </c>
      <c r="H23" s="11">
        <f>IF(AND(ROUND($D23,9)&gt;ROUND($C23,9),H$5&gt;ROUND($C23,9),H$5-1&lt;ROUND($D23,9)),"█","")</f>
        <v/>
      </c>
      <c r="I23" s="11">
        <f>IF(AND(ROUND($D23,9)&gt;ROUND($C23,9),I$5&gt;ROUND($C23,9),I$5-1&lt;ROUND($D23,9)),"█","")</f>
        <v/>
      </c>
      <c r="J23" s="11">
        <f>IF(AND(ROUND($D23,9)&gt;ROUND($C23,9),J$5&gt;ROUND($C23,9),J$5-1&lt;ROUND($D23,9)),"█","")</f>
        <v/>
      </c>
      <c r="K23" s="11">
        <f>IF(AND(ROUND($D23,9)&gt;ROUND($C23,9),K$5&gt;ROUND($C23,9),K$5-1&lt;ROUND($D23,9)),"█","")</f>
        <v/>
      </c>
      <c r="L23" s="11">
        <f>IF(AND(ROUND($D23,9)&gt;ROUND($C23,9),L$5&gt;ROUND($C23,9),L$5-1&lt;ROUND($D23,9)),"█","")</f>
        <v/>
      </c>
      <c r="M23" s="11">
        <f>IF(AND(ROUND($D23,9)&gt;ROUND($C23,9),M$5&gt;ROUND($C23,9),M$5-1&lt;ROUND($D23,9)),"█","")</f>
        <v/>
      </c>
      <c r="N23" s="11">
        <f>IF(AND(ROUND($D23,9)&gt;ROUND($C23,9),N$5&gt;ROUND($C23,9),N$5-1&lt;ROUND($D23,9)),"█","")</f>
        <v/>
      </c>
      <c r="O23" s="11">
        <f>IF(AND(ROUND($D23,9)&gt;ROUND($C23,9),O$5&gt;ROUND($C23,9),O$5-1&lt;ROUND($D23,9)),"█","")</f>
        <v/>
      </c>
      <c r="P23" s="11">
        <f>IF(AND(ROUND($D23,9)&gt;ROUND($C23,9),P$5&gt;ROUND($C23,9),P$5-1&lt;ROUND($D23,9)),"█","")</f>
        <v/>
      </c>
      <c r="Q23" s="11" t="str">
        <f>IF(AND(ROUND($D23,9)&gt;ROUND($C23,9),Q$5&gt;ROUND($C23,9),Q$5-1&lt;ROUND($D23,9)),"█","")</f>
        <v>█</v>
      </c>
      <c r="R23" s="11" t="str">
        <f>IF(AND(ROUND($D23,9)&gt;ROUND($C23,9),R$5&gt;ROUND($C23,9),R$5-1&lt;ROUND($D23,9)),"█","")</f>
        <v>█</v>
      </c>
      <c r="S23" s="11" t="str">
        <f>IF(AND(ROUND($D23,9)&gt;ROUND($C23,9),S$5&gt;ROUND($C23,9),S$5-1&lt;ROUND($D23,9)),"█","")</f>
        <v>█</v>
      </c>
      <c r="T23" s="11" t="str">
        <f>IF(AND(ROUND($D23,9)&gt;ROUND($C23,9),T$5&gt;ROUND($C23,9),T$5-1&lt;ROUND($D23,9)),"█","")</f>
        <v>█</v>
      </c>
      <c r="U23" s="7"/>
    </row>
    <row r="24" spans="1:21">
      <c r="A24" s="7" t="s">
        <v>25</v>
      </c>
      <c r="B24" s="10" t="s">
        <v>96</v>
      </c>
      <c r="C24" s="8">
        <f>'CPM'!$E$15</f>
        <v>10</v>
      </c>
      <c r="D24" s="8">
        <f>'CPM'!$F$15</f>
        <v>15</v>
      </c>
      <c r="E24" s="8">
        <f>'CPM'!$I$15</f>
        <v>0</v>
      </c>
      <c r="F24" s="11">
        <f>IF(AND(ROUND($D24,9)&gt;ROUND($C24,9),F$5&gt;ROUND($C24,9),F$5-1&lt;ROUND($D24,9)),"█","")</f>
        <v/>
      </c>
      <c r="G24" s="11">
        <f>IF(AND(ROUND($D24,9)&gt;ROUND($C24,9),G$5&gt;ROUND($C24,9),G$5-1&lt;ROUND($D24,9)),"█","")</f>
        <v/>
      </c>
      <c r="H24" s="11">
        <f>IF(AND(ROUND($D24,9)&gt;ROUND($C24,9),H$5&gt;ROUND($C24,9),H$5-1&lt;ROUND($D24,9)),"█","")</f>
        <v/>
      </c>
      <c r="I24" s="11">
        <f>IF(AND(ROUND($D24,9)&gt;ROUND($C24,9),I$5&gt;ROUND($C24,9),I$5-1&lt;ROUND($D24,9)),"█","")</f>
        <v/>
      </c>
      <c r="J24" s="11">
        <f>IF(AND(ROUND($D24,9)&gt;ROUND($C24,9),J$5&gt;ROUND($C24,9),J$5-1&lt;ROUND($D24,9)),"█","")</f>
        <v/>
      </c>
      <c r="K24" s="11">
        <f>IF(AND(ROUND($D24,9)&gt;ROUND($C24,9),K$5&gt;ROUND($C24,9),K$5-1&lt;ROUND($D24,9)),"█","")</f>
        <v/>
      </c>
      <c r="L24" s="11">
        <f>IF(AND(ROUND($D24,9)&gt;ROUND($C24,9),L$5&gt;ROUND($C24,9),L$5-1&lt;ROUND($D24,9)),"█","")</f>
        <v/>
      </c>
      <c r="M24" s="11">
        <f>IF(AND(ROUND($D24,9)&gt;ROUND($C24,9),M$5&gt;ROUND($C24,9),M$5-1&lt;ROUND($D24,9)),"█","")</f>
        <v/>
      </c>
      <c r="N24" s="11">
        <f>IF(AND(ROUND($D24,9)&gt;ROUND($C24,9),N$5&gt;ROUND($C24,9),N$5-1&lt;ROUND($D24,9)),"█","")</f>
        <v/>
      </c>
      <c r="O24" s="11">
        <f>IF(AND(ROUND($D24,9)&gt;ROUND($C24,9),O$5&gt;ROUND($C24,9),O$5-1&lt;ROUND($D24,9)),"█","")</f>
        <v/>
      </c>
      <c r="P24" s="11" t="str">
        <f>IF(AND(ROUND($D24,9)&gt;ROUND($C24,9),P$5&gt;ROUND($C24,9),P$5-1&lt;ROUND($D24,9)),"█","")</f>
        <v>█</v>
      </c>
      <c r="Q24" s="11" t="str">
        <f>IF(AND(ROUND($D24,9)&gt;ROUND($C24,9),Q$5&gt;ROUND($C24,9),Q$5-1&lt;ROUND($D24,9)),"█","")</f>
        <v>█</v>
      </c>
      <c r="R24" s="11" t="str">
        <f>IF(AND(ROUND($D24,9)&gt;ROUND($C24,9),R$5&gt;ROUND($C24,9),R$5-1&lt;ROUND($D24,9)),"█","")</f>
        <v>█</v>
      </c>
      <c r="S24" s="11" t="str">
        <f>IF(AND(ROUND($D24,9)&gt;ROUND($C24,9),S$5&gt;ROUND($C24,9),S$5-1&lt;ROUND($D24,9)),"█","")</f>
        <v>█</v>
      </c>
      <c r="T24" s="11" t="str">
        <f>IF(AND(ROUND($D24,9)&gt;ROUND($C24,9),T$5&gt;ROUND($C24,9),T$5-1&lt;ROUND($D24,9)),"█","")</f>
        <v>█</v>
      </c>
      <c r="U24" s="7" t="str">
        <f>IF(ABS($E$24)&lt;0.000000001,"Actividad Crítica","Holgura de "&amp;ROUND($E$24,4)&amp;" "&amp;IF(ROUND($E$24,4)=1,"semana","semanas"))</f>
        <v>Actividad Crítica</v>
      </c>
    </row>
    <row r="25" spans="1:21">
      <c r="A25" s="7"/>
      <c r="B25" s="10" t="s">
        <v>97</v>
      </c>
      <c r="C25" s="8">
        <f>'CPM'!$G$15</f>
        <v>10</v>
      </c>
      <c r="D25" s="8">
        <f>'CPM'!$H$15</f>
        <v>15</v>
      </c>
      <c r="E25" s="8"/>
      <c r="F25" s="11">
        <f>IF(AND(ROUND($D25,9)&gt;ROUND($C25,9),F$5&gt;ROUND($C25,9),F$5-1&lt;ROUND($D25,9)),"█","")</f>
        <v/>
      </c>
      <c r="G25" s="11">
        <f>IF(AND(ROUND($D25,9)&gt;ROUND($C25,9),G$5&gt;ROUND($C25,9),G$5-1&lt;ROUND($D25,9)),"█","")</f>
        <v/>
      </c>
      <c r="H25" s="11">
        <f>IF(AND(ROUND($D25,9)&gt;ROUND($C25,9),H$5&gt;ROUND($C25,9),H$5-1&lt;ROUND($D25,9)),"█","")</f>
        <v/>
      </c>
      <c r="I25" s="11">
        <f>IF(AND(ROUND($D25,9)&gt;ROUND($C25,9),I$5&gt;ROUND($C25,9),I$5-1&lt;ROUND($D25,9)),"█","")</f>
        <v/>
      </c>
      <c r="J25" s="11">
        <f>IF(AND(ROUND($D25,9)&gt;ROUND($C25,9),J$5&gt;ROUND($C25,9),J$5-1&lt;ROUND($D25,9)),"█","")</f>
        <v/>
      </c>
      <c r="K25" s="11">
        <f>IF(AND(ROUND($D25,9)&gt;ROUND($C25,9),K$5&gt;ROUND($C25,9),K$5-1&lt;ROUND($D25,9)),"█","")</f>
        <v/>
      </c>
      <c r="L25" s="11">
        <f>IF(AND(ROUND($D25,9)&gt;ROUND($C25,9),L$5&gt;ROUND($C25,9),L$5-1&lt;ROUND($D25,9)),"█","")</f>
        <v/>
      </c>
      <c r="M25" s="11">
        <f>IF(AND(ROUND($D25,9)&gt;ROUND($C25,9),M$5&gt;ROUND($C25,9),M$5-1&lt;ROUND($D25,9)),"█","")</f>
        <v/>
      </c>
      <c r="N25" s="11">
        <f>IF(AND(ROUND($D25,9)&gt;ROUND($C25,9),N$5&gt;ROUND($C25,9),N$5-1&lt;ROUND($D25,9)),"█","")</f>
        <v/>
      </c>
      <c r="O25" s="11">
        <f>IF(AND(ROUND($D25,9)&gt;ROUND($C25,9),O$5&gt;ROUND($C25,9),O$5-1&lt;ROUND($D25,9)),"█","")</f>
        <v/>
      </c>
      <c r="P25" s="11" t="str">
        <f>IF(AND(ROUND($D25,9)&gt;ROUND($C25,9),P$5&gt;ROUND($C25,9),P$5-1&lt;ROUND($D25,9)),"█","")</f>
        <v>█</v>
      </c>
      <c r="Q25" s="11" t="str">
        <f>IF(AND(ROUND($D25,9)&gt;ROUND($C25,9),Q$5&gt;ROUND($C25,9),Q$5-1&lt;ROUND($D25,9)),"█","")</f>
        <v>█</v>
      </c>
      <c r="R25" s="11" t="str">
        <f>IF(AND(ROUND($D25,9)&gt;ROUND($C25,9),R$5&gt;ROUND($C25,9),R$5-1&lt;ROUND($D25,9)),"█","")</f>
        <v>█</v>
      </c>
      <c r="S25" s="11" t="str">
        <f>IF(AND(ROUND($D25,9)&gt;ROUND($C25,9),S$5&gt;ROUND($C25,9),S$5-1&lt;ROUND($D25,9)),"█","")</f>
        <v>█</v>
      </c>
      <c r="T25" s="11" t="str">
        <f>IF(AND(ROUND($D25,9)&gt;ROUND($C25,9),T$5&gt;ROUND($C25,9),T$5-1&lt;ROUND($D25,9)),"█","")</f>
        <v>█</v>
      </c>
      <c r="U25" s="7"/>
    </row>
  </sheetData>
  <mergeCells count="37">
    <mergeCell ref="A4:A5"/>
    <mergeCell ref="B4:B5"/>
    <mergeCell ref="C4:C5"/>
    <mergeCell ref="D4:D5"/>
    <mergeCell ref="E4:E5"/>
    <mergeCell ref="F4:T4"/>
    <mergeCell ref="U4:U5"/>
    <mergeCell ref="A6:A7"/>
    <mergeCell ref="E6:E7"/>
    <mergeCell ref="U6:U7"/>
    <mergeCell ref="A8:A9"/>
    <mergeCell ref="E8:E9"/>
    <mergeCell ref="U8:U9"/>
    <mergeCell ref="A10:A11"/>
    <mergeCell ref="E10:E11"/>
    <mergeCell ref="U10:U11"/>
    <mergeCell ref="A12:A13"/>
    <mergeCell ref="E12:E13"/>
    <mergeCell ref="U12:U13"/>
    <mergeCell ref="A14:A15"/>
    <mergeCell ref="E14:E15"/>
    <mergeCell ref="U14:U15"/>
    <mergeCell ref="A16:A17"/>
    <mergeCell ref="E16:E17"/>
    <mergeCell ref="U16:U17"/>
    <mergeCell ref="A18:A19"/>
    <mergeCell ref="E18:E19"/>
    <mergeCell ref="U18:U19"/>
    <mergeCell ref="A20:A21"/>
    <mergeCell ref="E20:E21"/>
    <mergeCell ref="U20:U21"/>
    <mergeCell ref="A22:A23"/>
    <mergeCell ref="E22:E23"/>
    <mergeCell ref="U22:U23"/>
    <mergeCell ref="A24:A25"/>
    <mergeCell ref="E24:E25"/>
    <mergeCell ref="U24:U25"/>
  </mergeCells>
  <conditionalFormatting sqref="A10:A11">
    <cfRule type="expression" dxfId="0" priority="5">
      <formula>ABS($E$10)&lt;0.000000001</formula>
    </cfRule>
  </conditionalFormatting>
  <conditionalFormatting sqref="A12:A13">
    <cfRule type="expression" dxfId="0" priority="7">
      <formula>ABS($E$12)&lt;0.000000001</formula>
    </cfRule>
  </conditionalFormatting>
  <conditionalFormatting sqref="A14:A15">
    <cfRule type="expression" dxfId="0" priority="9">
      <formula>ABS($E$14)&lt;0.000000001</formula>
    </cfRule>
  </conditionalFormatting>
  <conditionalFormatting sqref="A16:A17">
    <cfRule type="expression" dxfId="0" priority="11">
      <formula>ABS($E$16)&lt;0.000000001</formula>
    </cfRule>
  </conditionalFormatting>
  <conditionalFormatting sqref="A18:A19">
    <cfRule type="expression" dxfId="0" priority="13">
      <formula>ABS($E$18)&lt;0.000000001</formula>
    </cfRule>
  </conditionalFormatting>
  <conditionalFormatting sqref="A20:A21">
    <cfRule type="expression" dxfId="0" priority="15">
      <formula>ABS($E$20)&lt;0.000000001</formula>
    </cfRule>
  </conditionalFormatting>
  <conditionalFormatting sqref="A22:A23">
    <cfRule type="expression" dxfId="0" priority="17">
      <formula>ABS($E$22)&lt;0.000000001</formula>
    </cfRule>
  </conditionalFormatting>
  <conditionalFormatting sqref="A24:A25">
    <cfRule type="expression" dxfId="0" priority="19">
      <formula>ABS($E$24)&lt;0.000000001</formula>
    </cfRule>
  </conditionalFormatting>
  <conditionalFormatting sqref="A6:A7">
    <cfRule type="expression" dxfId="0" priority="1">
      <formula>ABS($E$6)&lt;0.000000001</formula>
    </cfRule>
  </conditionalFormatting>
  <conditionalFormatting sqref="A8:A9">
    <cfRule type="expression" dxfId="0" priority="3">
      <formula>ABS($E$8)&lt;0.000000001</formula>
    </cfRule>
  </conditionalFormatting>
  <conditionalFormatting sqref="F6:T25">
    <cfRule type="cellIs" dxfId="1" priority="21" operator="equal">
      <formula>"█"</formula>
    </cfRule>
  </conditionalFormatting>
  <conditionalFormatting sqref="U10:U11">
    <cfRule type="expression" dxfId="0" priority="6">
      <formula>ABS($E$10)&lt;0.000000001</formula>
    </cfRule>
  </conditionalFormatting>
  <conditionalFormatting sqref="U12:U13">
    <cfRule type="expression" dxfId="0" priority="8">
      <formula>ABS($E$12)&lt;0.000000001</formula>
    </cfRule>
  </conditionalFormatting>
  <conditionalFormatting sqref="U14:U15">
    <cfRule type="expression" dxfId="0" priority="10">
      <formula>ABS($E$14)&lt;0.000000001</formula>
    </cfRule>
  </conditionalFormatting>
  <conditionalFormatting sqref="U16:U17">
    <cfRule type="expression" dxfId="0" priority="12">
      <formula>ABS($E$16)&lt;0.000000001</formula>
    </cfRule>
  </conditionalFormatting>
  <conditionalFormatting sqref="U18:U19">
    <cfRule type="expression" dxfId="0" priority="14">
      <formula>ABS($E$18)&lt;0.000000001</formula>
    </cfRule>
  </conditionalFormatting>
  <conditionalFormatting sqref="U20:U21">
    <cfRule type="expression" dxfId="0" priority="16">
      <formula>ABS($E$20)&lt;0.000000001</formula>
    </cfRule>
  </conditionalFormatting>
  <conditionalFormatting sqref="U22:U23">
    <cfRule type="expression" dxfId="0" priority="18">
      <formula>ABS($E$22)&lt;0.000000001</formula>
    </cfRule>
  </conditionalFormatting>
  <conditionalFormatting sqref="U24:U25">
    <cfRule type="expression" dxfId="0" priority="20">
      <formula>ABS($E$24)&lt;0.000000001</formula>
    </cfRule>
  </conditionalFormatting>
  <conditionalFormatting sqref="U6:U7">
    <cfRule type="expression" dxfId="0" priority="2">
      <formula>ABS($E$6)&lt;0.000000001</formula>
    </cfRule>
  </conditionalFormatting>
  <conditionalFormatting sqref="U8:U9">
    <cfRule type="expression" dxfId="0" priority="4">
      <formula>ABS($E$8)&lt;0.000000001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cols>
    <col min="1" max="1" width="12.7109375" customWidth="1"/>
    <col min="2" max="9" width="14.7109375" customWidth="1"/>
    <col min="10" max="10" width="40.7109375" customWidth="1"/>
  </cols>
  <sheetData>
    <row r="1" spans="1:10">
      <c r="A1" s="1" t="s">
        <v>98</v>
      </c>
    </row>
    <row r="3" spans="1:10">
      <c r="A3" s="3" t="s">
        <v>99</v>
      </c>
    </row>
    <row r="4" spans="1:10">
      <c r="A4" s="4" t="s">
        <v>68</v>
      </c>
      <c r="C4" s="8">
        <f>'CPM'!$D$2</f>
        <v>15</v>
      </c>
    </row>
    <row r="5" spans="1:10">
      <c r="A5" s="4" t="s">
        <v>100</v>
      </c>
      <c r="C5" s="9">
        <f>'PERT'!$F$18</f>
        <v>4.111111111111111</v>
      </c>
    </row>
    <row r="6" spans="1:10">
      <c r="A6" s="4" t="s">
        <v>101</v>
      </c>
      <c r="C6" s="9">
        <f>SQRT(C5)</f>
        <v>2.0275875100994063</v>
      </c>
    </row>
    <row r="7" spans="1:10">
      <c r="A7" s="3" t="s">
        <v>102</v>
      </c>
    </row>
    <row r="8" spans="1:10">
      <c r="A8" s="2" t="s">
        <v>103</v>
      </c>
    </row>
    <row r="10" spans="1:10">
      <c r="A10" s="5" t="s">
        <v>104</v>
      </c>
      <c r="B10" s="5" t="s">
        <v>105</v>
      </c>
      <c r="C10" s="5" t="s">
        <v>106</v>
      </c>
      <c r="D10" s="5" t="s">
        <v>107</v>
      </c>
      <c r="E10" s="5" t="s">
        <v>108</v>
      </c>
      <c r="F10" s="5" t="s">
        <v>109</v>
      </c>
      <c r="G10" s="5" t="s">
        <v>110</v>
      </c>
      <c r="H10" s="5" t="s">
        <v>111</v>
      </c>
      <c r="I10" s="5" t="s">
        <v>112</v>
      </c>
      <c r="J10" s="5" t="s">
        <v>113</v>
      </c>
    </row>
    <row r="11" spans="1:10">
      <c r="A11" s="7" t="s">
        <v>114</v>
      </c>
      <c r="B11" s="7" t="s">
        <v>115</v>
      </c>
      <c r="C11" s="8">
        <v>13</v>
      </c>
      <c r="D11" s="9">
        <f>(C11-$C$4)/$C$6</f>
        <v>-0.9863939238321439</v>
      </c>
      <c r="E11" s="9">
        <f>NORMSDIST(D11)</f>
        <v>0.16196992279926706</v>
      </c>
      <c r="F11" s="9">
        <f>ROUND(D11,2)</f>
        <v>-0.99</v>
      </c>
      <c r="G11" s="9">
        <f>ROUND(NORMSDIST(F11),4)</f>
        <v>0.1611</v>
      </c>
      <c r="H11" s="9">
        <f>E11</f>
        <v>0.16196992279926706</v>
      </c>
      <c r="I11" s="9">
        <f>G11</f>
        <v>0.1611</v>
      </c>
      <c r="J11" s="6" t="s">
        <v>116</v>
      </c>
    </row>
    <row r="12" spans="1:10">
      <c r="A12" s="7" t="s">
        <v>117</v>
      </c>
      <c r="B12" s="7" t="s">
        <v>118</v>
      </c>
      <c r="C12" s="8">
        <v>16</v>
      </c>
      <c r="D12" s="9">
        <f>(C12-$C$4)/$C$6</f>
        <v>0.49319696191607193</v>
      </c>
      <c r="E12" s="9">
        <f>NORMSDIST(D12)</f>
        <v>0.6890632878346296</v>
      </c>
      <c r="F12" s="9">
        <f>ROUND(D12,2)</f>
        <v>0.49</v>
      </c>
      <c r="G12" s="9">
        <f>ROUND(NORMSDIST(F12),4)</f>
        <v>0.6879</v>
      </c>
      <c r="H12" s="9">
        <f>1-E12</f>
        <v>0.31093671216537044</v>
      </c>
      <c r="I12" s="9">
        <f>ROUND(1-G12,4)</f>
        <v>0.3121</v>
      </c>
      <c r="J12" s="6" t="s">
        <v>119</v>
      </c>
    </row>
    <row r="13" spans="1:10">
      <c r="A13" s="7" t="s">
        <v>120</v>
      </c>
      <c r="B13" s="7" t="s">
        <v>121</v>
      </c>
      <c r="C13" s="8">
        <v>20</v>
      </c>
      <c r="D13" s="9">
        <f>(C13-$C$4)/$C$6</f>
        <v>2.46598480958036</v>
      </c>
      <c r="E13" s="9">
        <f>NORMSDIST(D13)</f>
        <v>0.9931681435659094</v>
      </c>
      <c r="F13" s="9">
        <f>ROUND(D13,2)</f>
        <v>2.47</v>
      </c>
      <c r="G13" s="9">
        <f>ROUND(NORMSDIST(F13),4)</f>
        <v>0.9932</v>
      </c>
      <c r="H13" s="9">
        <f>E13-E14</f>
        <v>0.3041048557312799</v>
      </c>
      <c r="I13" s="9">
        <f>ROUND(G13-G14,4)</f>
        <v>0.3053</v>
      </c>
      <c r="J13" s="6" t="s">
        <v>122</v>
      </c>
    </row>
    <row r="14" spans="1:10">
      <c r="A14" s="7" t="s">
        <v>120</v>
      </c>
      <c r="B14" s="7" t="s">
        <v>121</v>
      </c>
      <c r="C14" s="8">
        <v>16</v>
      </c>
      <c r="D14" s="9">
        <f>(C14-$C$4)/$C$6</f>
        <v>0.49319696191607193</v>
      </c>
      <c r="E14" s="9">
        <f>NORMSDIST(D14)</f>
        <v>0.6890632878346296</v>
      </c>
      <c r="F14" s="9">
        <f>ROUND(D14,2)</f>
        <v>0.49</v>
      </c>
      <c r="G14" s="9">
        <f>ROUND(NORMSDIST(F14),4)</f>
        <v>0.6879</v>
      </c>
    </row>
    <row r="16" spans="1:10">
      <c r="A16" s="3" t="s">
        <v>123</v>
      </c>
    </row>
    <row r="17" spans="1:9">
      <c r="A17" s="5" t="s">
        <v>104</v>
      </c>
      <c r="B17" s="5" t="s">
        <v>124</v>
      </c>
      <c r="C17" s="5" t="s">
        <v>107</v>
      </c>
      <c r="D17" s="5" t="s">
        <v>125</v>
      </c>
      <c r="E17" s="5" t="s">
        <v>109</v>
      </c>
      <c r="F17" s="5" t="s">
        <v>110</v>
      </c>
      <c r="G17" s="5" t="s">
        <v>126</v>
      </c>
      <c r="H17" s="5" t="s">
        <v>127</v>
      </c>
      <c r="I17" s="5" t="s">
        <v>113</v>
      </c>
    </row>
    <row r="18" spans="1:9">
      <c r="A18" s="7" t="s">
        <v>128</v>
      </c>
      <c r="B18" s="9">
        <v>0.98</v>
      </c>
      <c r="C18" s="9">
        <f>NORMSINV(B18)</f>
        <v>2.0537489106318225</v>
      </c>
      <c r="D18" s="9">
        <f>$C$4+C18*$C$6</f>
        <v>19.164155640077347</v>
      </c>
      <c r="E18" s="9">
        <v>2.06</v>
      </c>
      <c r="F18" s="9">
        <f>ROUND(NORMSDIST(E18),4)</f>
        <v>0.9803</v>
      </c>
      <c r="G18" s="9">
        <f>$C$4+E18*$C$6</f>
        <v>19.17683027080478</v>
      </c>
      <c r="H18" s="8">
        <f>ROUNDUP(ROUND(D18,9),0)</f>
        <v>20</v>
      </c>
      <c r="I18" s="6" t="s">
        <v>129</v>
      </c>
    </row>
    <row r="19" spans="1:9">
      <c r="A19" s="2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cols>
    <col min="1" max="1" width="26.7109375" customWidth="1"/>
    <col min="2" max="2" width="40.7109375" customWidth="1"/>
    <col min="3" max="3" width="90.7109375" customWidth="1"/>
    <col min="4" max="4" width="22.7109375" customWidth="1"/>
  </cols>
  <sheetData>
    <row r="1" spans="1:4">
      <c r="A1" s="1" t="s">
        <v>131</v>
      </c>
    </row>
    <row r="2" spans="1:4">
      <c r="A2" s="2" t="s">
        <v>132</v>
      </c>
    </row>
    <row r="4" spans="1:4">
      <c r="A4" s="5" t="s">
        <v>133</v>
      </c>
      <c r="B4" s="5" t="s">
        <v>104</v>
      </c>
      <c r="C4" s="5" t="s">
        <v>134</v>
      </c>
      <c r="D4" s="5" t="s">
        <v>135</v>
      </c>
    </row>
    <row r="5" spans="1:4" ht="30" customHeight="1">
      <c r="A5" s="7" t="s">
        <v>28</v>
      </c>
      <c r="B5" s="6" t="s">
        <v>136</v>
      </c>
      <c r="C5" s="6" t="s">
        <v>137</v>
      </c>
      <c r="D5" s="7"/>
    </row>
    <row r="6" spans="1:4" ht="65" customHeight="1">
      <c r="A6" s="7" t="s">
        <v>30</v>
      </c>
      <c r="B6" s="6" t="s">
        <v>138</v>
      </c>
      <c r="C6" s="6" t="s">
        <v>139</v>
      </c>
      <c r="D6" s="7"/>
    </row>
    <row r="7" spans="1:4" ht="39" customHeight="1">
      <c r="A7" s="7" t="s">
        <v>140</v>
      </c>
      <c r="B7" s="6" t="s">
        <v>141</v>
      </c>
      <c r="C7" s="6" t="s">
        <v>142</v>
      </c>
      <c r="D7" s="7" t="str">
        <f>'CPM'!$D$3</f>
        <v>A – C – F – H – J</v>
      </c>
    </row>
    <row r="8" spans="1:4" ht="30" customHeight="1">
      <c r="A8" s="7" t="s">
        <v>114</v>
      </c>
      <c r="B8" s="6" t="s">
        <v>143</v>
      </c>
      <c r="C8" s="6" t="s">
        <v>144</v>
      </c>
      <c r="D8" s="9">
        <f>'Probabilidad'!$H$11</f>
        <v>0.16196992279926706</v>
      </c>
    </row>
    <row r="9" spans="1:4" ht="30" customHeight="1">
      <c r="A9" s="7" t="s">
        <v>117</v>
      </c>
      <c r="B9" s="6" t="s">
        <v>145</v>
      </c>
      <c r="C9" s="6" t="s">
        <v>146</v>
      </c>
      <c r="D9" s="9">
        <f>'Probabilidad'!$H$12</f>
        <v>0.31093671216537044</v>
      </c>
    </row>
    <row r="10" spans="1:4" ht="30" customHeight="1">
      <c r="A10" s="7" t="s">
        <v>120</v>
      </c>
      <c r="B10" s="6" t="s">
        <v>147</v>
      </c>
      <c r="C10" s="6" t="s">
        <v>148</v>
      </c>
      <c r="D10" s="9">
        <f>'Probabilidad'!$H$13</f>
        <v>0.3041048557312799</v>
      </c>
    </row>
    <row r="11" spans="1:4" ht="78" customHeight="1">
      <c r="A11" s="7" t="s">
        <v>128</v>
      </c>
      <c r="B11" s="6" t="s">
        <v>149</v>
      </c>
      <c r="C11" s="6" t="s">
        <v>150</v>
      </c>
      <c r="D11" s="8">
        <f>'Probabilidad'!$H$18</f>
        <v>20</v>
      </c>
    </row>
    <row r="13" spans="1:4">
      <c r="A13" s="3" t="s">
        <v>151</v>
      </c>
    </row>
    <row r="14" spans="1:4">
      <c r="A14" s="5" t="s">
        <v>9</v>
      </c>
      <c r="B14" s="5" t="s">
        <v>89</v>
      </c>
      <c r="C14" s="5" t="s">
        <v>152</v>
      </c>
    </row>
    <row r="15" spans="1:4">
      <c r="A15" s="6" t="s">
        <v>153</v>
      </c>
      <c r="B15" s="8">
        <v>10</v>
      </c>
      <c r="C15" s="6" t="s">
        <v>11</v>
      </c>
    </row>
    <row r="16" spans="1:4">
      <c r="A16" s="6" t="s">
        <v>154</v>
      </c>
      <c r="B16" s="8">
        <v>0</v>
      </c>
      <c r="C16" s="6" t="s">
        <v>155</v>
      </c>
    </row>
    <row r="18" spans="1:4">
      <c r="A18" s="3" t="s">
        <v>156</v>
      </c>
    </row>
    <row r="19" spans="1:4">
      <c r="A19" s="5" t="s">
        <v>152</v>
      </c>
      <c r="B19" s="5" t="s">
        <v>157</v>
      </c>
      <c r="C19" s="5" t="s">
        <v>158</v>
      </c>
      <c r="D19" s="5" t="s">
        <v>9</v>
      </c>
    </row>
    <row r="20" spans="1:4">
      <c r="A20" s="6" t="s">
        <v>159</v>
      </c>
      <c r="B20" s="6" t="s">
        <v>160</v>
      </c>
      <c r="C20" s="6" t="s">
        <v>161</v>
      </c>
      <c r="D20" s="6" t="s">
        <v>154</v>
      </c>
    </row>
    <row r="21" spans="1:4">
      <c r="A21" s="6" t="s">
        <v>159</v>
      </c>
      <c r="B21" s="6" t="s">
        <v>162</v>
      </c>
      <c r="C21" s="6" t="s">
        <v>163</v>
      </c>
      <c r="D21" s="6" t="s">
        <v>154</v>
      </c>
    </row>
    <row r="22" spans="1:4">
      <c r="A22" s="6" t="s">
        <v>159</v>
      </c>
      <c r="B22" s="6" t="s">
        <v>164</v>
      </c>
      <c r="C22" s="6" t="s">
        <v>163</v>
      </c>
      <c r="D22" s="6" t="s">
        <v>154</v>
      </c>
    </row>
    <row r="23" spans="1:4">
      <c r="A23" s="6" t="s">
        <v>159</v>
      </c>
      <c r="B23" s="6" t="s">
        <v>165</v>
      </c>
      <c r="C23" s="6" t="s">
        <v>166</v>
      </c>
      <c r="D23" s="6" t="s">
        <v>154</v>
      </c>
    </row>
    <row r="24" spans="1:4">
      <c r="A24" s="6" t="s">
        <v>159</v>
      </c>
      <c r="B24" s="6" t="s">
        <v>167</v>
      </c>
      <c r="C24" s="6" t="s">
        <v>166</v>
      </c>
      <c r="D24" s="6" t="s">
        <v>154</v>
      </c>
    </row>
    <row r="25" spans="1:4">
      <c r="A25" s="6" t="s">
        <v>159</v>
      </c>
      <c r="B25" s="6" t="s">
        <v>168</v>
      </c>
      <c r="C25" s="6" t="s">
        <v>166</v>
      </c>
      <c r="D25" s="6" t="s">
        <v>154</v>
      </c>
    </row>
    <row r="26" spans="1:4">
      <c r="A26" s="6" t="s">
        <v>159</v>
      </c>
      <c r="B26" s="6" t="s">
        <v>169</v>
      </c>
      <c r="C26" s="6" t="s">
        <v>170</v>
      </c>
      <c r="D26" s="6" t="s">
        <v>154</v>
      </c>
    </row>
    <row r="27" spans="1:4">
      <c r="A27" s="6" t="s">
        <v>159</v>
      </c>
      <c r="B27" s="6" t="s">
        <v>171</v>
      </c>
      <c r="C27" s="6" t="s">
        <v>172</v>
      </c>
      <c r="D27" s="6" t="s">
        <v>154</v>
      </c>
    </row>
    <row r="28" spans="1:4">
      <c r="A28" s="6" t="s">
        <v>173</v>
      </c>
      <c r="B28" s="6" t="s">
        <v>174</v>
      </c>
      <c r="C28" s="6" t="s">
        <v>175</v>
      </c>
      <c r="D28" s="6" t="s">
        <v>154</v>
      </c>
    </row>
    <row r="30" spans="1:4">
      <c r="A30" s="3" t="s">
        <v>176</v>
      </c>
    </row>
    <row r="31" spans="1:4">
      <c r="A31" s="5" t="s">
        <v>177</v>
      </c>
      <c r="B31" s="5" t="s">
        <v>178</v>
      </c>
      <c r="C31" s="5" t="s">
        <v>179</v>
      </c>
    </row>
    <row r="32" spans="1:4">
      <c r="A32" s="6" t="s">
        <v>180</v>
      </c>
      <c r="B32" s="6" t="s">
        <v>181</v>
      </c>
      <c r="C32" s="6" t="s">
        <v>182</v>
      </c>
    </row>
    <row r="33" spans="1:3">
      <c r="A33" s="6" t="s">
        <v>183</v>
      </c>
      <c r="B33" s="6" t="s">
        <v>181</v>
      </c>
      <c r="C33" s="6" t="s">
        <v>182</v>
      </c>
    </row>
    <row r="34" spans="1:3">
      <c r="A34" s="6" t="s">
        <v>184</v>
      </c>
      <c r="B34" s="6" t="s">
        <v>181</v>
      </c>
      <c r="C34" s="6" t="s">
        <v>182</v>
      </c>
    </row>
    <row r="35" spans="1:3">
      <c r="A35" s="6" t="s">
        <v>185</v>
      </c>
      <c r="B35" s="6" t="s">
        <v>181</v>
      </c>
      <c r="C35" s="6" t="s">
        <v>182</v>
      </c>
    </row>
    <row r="36" spans="1:3">
      <c r="A36" s="6" t="s">
        <v>186</v>
      </c>
      <c r="B36" s="6" t="s">
        <v>181</v>
      </c>
      <c r="C36" s="6" t="s">
        <v>182</v>
      </c>
    </row>
    <row r="37" spans="1:3">
      <c r="A37" s="6" t="s">
        <v>187</v>
      </c>
      <c r="B37" s="6" t="s">
        <v>181</v>
      </c>
      <c r="C37" s="6" t="s">
        <v>182</v>
      </c>
    </row>
    <row r="38" spans="1:3">
      <c r="A38" s="6" t="s">
        <v>188</v>
      </c>
      <c r="B38" s="6" t="s">
        <v>181</v>
      </c>
      <c r="C38" s="6" t="s">
        <v>182</v>
      </c>
    </row>
    <row r="39" spans="1:3">
      <c r="A39" s="6" t="s">
        <v>189</v>
      </c>
      <c r="B39" s="6" t="s">
        <v>181</v>
      </c>
      <c r="C39" s="6" t="s">
        <v>182</v>
      </c>
    </row>
    <row r="40" spans="1:3">
      <c r="A40" s="6" t="s">
        <v>190</v>
      </c>
      <c r="B40" s="6" t="s">
        <v>181</v>
      </c>
      <c r="C40" s="6" t="s">
        <v>182</v>
      </c>
    </row>
    <row r="41" spans="1:3">
      <c r="A41" s="6" t="s">
        <v>191</v>
      </c>
      <c r="B41" s="6" t="s">
        <v>181</v>
      </c>
      <c r="C41" s="6" t="s">
        <v>182</v>
      </c>
    </row>
    <row r="42" spans="1:3">
      <c r="A42" s="6" t="s">
        <v>192</v>
      </c>
      <c r="B42" s="6" t="s">
        <v>181</v>
      </c>
      <c r="C42" s="6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Enunciado</vt:lpstr>
      <vt:lpstr>Datos</vt:lpstr>
      <vt:lpstr>PERT</vt:lpstr>
      <vt:lpstr>CPM</vt:lpstr>
      <vt:lpstr>Gantt</vt:lpstr>
      <vt:lpstr>Probabilidad</vt:lpstr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Taller 1 — Administración de proyectos</dc:title>
  <dc:creator/>
  <dc:description>Generated by pm-scheduling-mcp</dc:description>
  <cp:lastModifiedBy/>
  <dcterms:created xsi:type="dcterms:W3CDTF">2000-01-01T00:00:00Z</dcterms:created>
  <dcterms:modified xsi:type="dcterms:W3CDTF">2000-01-01T00:00:00Z</dcterms:modified>
</cp:coreProperties>
</file>