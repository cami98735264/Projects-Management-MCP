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unciado" sheetId="1" r:id="rId1"/>
    <sheet name="Datos" sheetId="2" r:id="rId2"/>
    <sheet name="PERT" sheetId="3" r:id="rId3"/>
    <sheet name="CPM" sheetId="4" r:id="rId4"/>
    <sheet name="Red AON" sheetId="5" r:id="rId5"/>
    <sheet name="Probabilidad" sheetId="6" r:id="rId6"/>
    <sheet name="Resultados" sheetId="7" r:id="rId7"/>
  </sheets>
  <calcPr calcId="124519" fullCalcOnLoad="1"/>
</workbook>
</file>

<file path=xl/sharedStrings.xml><?xml version="1.0" encoding="utf-8"?>
<sst xmlns="http://schemas.openxmlformats.org/spreadsheetml/2006/main" count="578" uniqueCount="259">
  <si>
    <t>Datos de las actividades</t>
  </si>
  <si>
    <t>Unidad de tiempo: semanas · Método: PERT (t_e = (a + b + 4m)/6 alimenta el CPM)</t>
  </si>
  <si>
    <t>Actividad</t>
  </si>
  <si>
    <t>Descripción</t>
  </si>
  <si>
    <t>Predecesoras</t>
  </si>
  <si>
    <t>Ficticia</t>
  </si>
  <si>
    <t>Optimista (a)</t>
  </si>
  <si>
    <t>Normal (m)</t>
  </si>
  <si>
    <t>Pesimista (b)</t>
  </si>
  <si>
    <t>Procedencia</t>
  </si>
  <si>
    <t>A</t>
  </si>
  <si>
    <t/>
  </si>
  <si>
    <t>Ninguna</t>
  </si>
  <si>
    <t>No</t>
  </si>
  <si>
    <t>Extraído del documento (predecessors: Inferido)</t>
  </si>
  <si>
    <t>B</t>
  </si>
  <si>
    <t>C</t>
  </si>
  <si>
    <t>D</t>
  </si>
  <si>
    <t>E</t>
  </si>
  <si>
    <t>F</t>
  </si>
  <si>
    <t>D, E</t>
  </si>
  <si>
    <t>G</t>
  </si>
  <si>
    <t>C, F</t>
  </si>
  <si>
    <t>H</t>
  </si>
  <si>
    <t>I</t>
  </si>
  <si>
    <t>G, H</t>
  </si>
  <si>
    <t>PERT probabilístico: tiempo esperado y varianza por actividad</t>
  </si>
  <si>
    <t>t_e = (a + b + 4m) / 6        σ² = [(b − a) / 6]²</t>
  </si>
  <si>
    <t>a</t>
  </si>
  <si>
    <t>m</t>
  </si>
  <si>
    <t>b</t>
  </si>
  <si>
    <t>t_e = (a + b + 4m)/6</t>
  </si>
  <si>
    <t>σ² = [(b − a)/6]²</t>
  </si>
  <si>
    <t>t_e (fracción)</t>
  </si>
  <si>
    <t>σ² (fracción)</t>
  </si>
  <si>
    <t>Cálculo t_e</t>
  </si>
  <si>
    <t>Cálculo σ²</t>
  </si>
  <si>
    <t>¿Crítica?</t>
  </si>
  <si>
    <t>3</t>
  </si>
  <si>
    <t>4/9</t>
  </si>
  <si>
    <t>(1 + 5 + 4·3) / 6 = 3</t>
  </si>
  <si>
    <t>[(5 − 1) / 6]² = 4/9</t>
  </si>
  <si>
    <t>5</t>
  </si>
  <si>
    <t>1/9</t>
  </si>
  <si>
    <t>(4 + 6 + 4·5) / 6 = 5</t>
  </si>
  <si>
    <t>[(6 − 4) / 6]² = 1/9</t>
  </si>
  <si>
    <t>4</t>
  </si>
  <si>
    <t>1</t>
  </si>
  <si>
    <t>(1 + 7 + 4·4) / 6 = 4</t>
  </si>
  <si>
    <t>[(7 − 1) / 6]² = 1</t>
  </si>
  <si>
    <t>8</t>
  </si>
  <si>
    <t>(7 + 9 + 4·8) / 6 = 8</t>
  </si>
  <si>
    <t>[(9 − 7) / 6]² = 1/9</t>
  </si>
  <si>
    <t>6</t>
  </si>
  <si>
    <t>(4 + 8 + 4·6) / 6 = 6</t>
  </si>
  <si>
    <t>[(8 − 4) / 6]² = 4/9</t>
  </si>
  <si>
    <t>9</t>
  </si>
  <si>
    <t>(7 + 11 + 4·9) / 6 = 9</t>
  </si>
  <si>
    <t>[(11 − 7) / 6]² = 4/9</t>
  </si>
  <si>
    <t>Ruta crítica utilizada</t>
  </si>
  <si>
    <t>A – E – F – G – I</t>
  </si>
  <si>
    <t>Varianza del proyecto σ² = Σ σ² de las actividades críticas</t>
  </si>
  <si>
    <t>14/9</t>
  </si>
  <si>
    <t>σ² = 4/9 + 1/9 + 4/9 + 1/9 + 4/9 = 14/9</t>
  </si>
  <si>
    <t>Desviación estándar σ = √(Σ σ² A.C.)</t>
  </si>
  <si>
    <t>σ = √(14/9) = 1.2472</t>
  </si>
  <si>
    <t>Tiempo esperado mínimo del proyecto (t_e)</t>
  </si>
  <si>
    <t>Método de la ruta crítica — duraciones = tiempo esperado t_e</t>
  </si>
  <si>
    <t>Tiempo esperado mínimo del proyecto (t_e) (semanas)</t>
  </si>
  <si>
    <t>Ruta crítica</t>
  </si>
  <si>
    <t>Sucesoras</t>
  </si>
  <si>
    <t>Duración (t_e)</t>
  </si>
  <si>
    <t>Inicio más temprano (IC)</t>
  </si>
  <si>
    <t>Terminación más temprana (TC)</t>
  </si>
  <si>
    <t>Inicio más tardío (IL)</t>
  </si>
  <si>
    <t>Terminación más tardía (TL)</t>
  </si>
  <si>
    <t>Holgura (IL − IC)</t>
  </si>
  <si>
    <t>Holgura (TL − TC)</t>
  </si>
  <si>
    <t>Holgura libre</t>
  </si>
  <si>
    <t>—</t>
  </si>
  <si>
    <t>B, E</t>
  </si>
  <si>
    <t>C, D</t>
  </si>
  <si>
    <t>F, H</t>
  </si>
  <si>
    <t>Holgura = IL − IC = TL − TC; actividades con holgura 0 = ruta crítica. IC = máx(TC de predecesoras); TL = mín(IL de sucesoras).</t>
  </si>
  <si>
    <t>Red ACTIVIDAD - NODO (método de Bernard Roy)</t>
  </si>
  <si>
    <t>Simbología del nodo</t>
  </si>
  <si>
    <t>Act.</t>
  </si>
  <si>
    <t>t</t>
  </si>
  <si>
    <t>Nombre de la actividad  |  Duración de la actividad</t>
  </si>
  <si>
    <t>IC</t>
  </si>
  <si>
    <t>TC</t>
  </si>
  <si>
    <t>Tpo. de inicio más temprano  |  Tpo. de finalización más temprano</t>
  </si>
  <si>
    <t>IL</t>
  </si>
  <si>
    <t>TL</t>
  </si>
  <si>
    <t>Tiempo de inicio más tarde  |  Tiempo de finalización más tarde</t>
  </si>
  <si>
    <t>Holgura</t>
  </si>
  <si>
    <t>Diagrama generado por el motor (nodos grises y flechas dobles = ruta crítica).</t>
  </si>
  <si>
    <t>Nodos con los tiempos calculados</t>
  </si>
  <si>
    <t>Precedencias (arcos de la red)</t>
  </si>
  <si>
    <t>Desde</t>
  </si>
  <si>
    <t>Hacia</t>
  </si>
  <si>
    <t>¿Arco crítico?</t>
  </si>
  <si>
    <t>Sí</t>
  </si>
  <si>
    <t>PERT probabilístico — probabilidad de terminación</t>
  </si>
  <si>
    <t>Parámetros</t>
  </si>
  <si>
    <t>σ² (Σ σ² A.C.)</t>
  </si>
  <si>
    <t>σ = √σ²</t>
  </si>
  <si>
    <t>Z = (T_p − t_e) / σ</t>
  </si>
  <si>
    <t>Tabla: Z redondeado a 2 decimales y P(Z) leído a 4 decimales (convención del material de referencia). Exacto: función NORMSDIST.</t>
  </si>
  <si>
    <t>Pregunta</t>
  </si>
  <si>
    <t>Tipo</t>
  </si>
  <si>
    <t>T_p</t>
  </si>
  <si>
    <t>Z exacto</t>
  </si>
  <si>
    <t>P(Z ≤ z) exacta</t>
  </si>
  <si>
    <t>Z tabla</t>
  </si>
  <si>
    <t>P(Z ≤ z) tabla</t>
  </si>
  <si>
    <t>Probabilidad (exacta)</t>
  </si>
  <si>
    <t>Probabilidad (tabla)</t>
  </si>
  <si>
    <t>Interpretación</t>
  </si>
  <si>
    <t>e1</t>
  </si>
  <si>
    <t>T ≤ 27</t>
  </si>
  <si>
    <t>P(T ≤ 27) = 0.9452</t>
  </si>
  <si>
    <t>e2</t>
  </si>
  <si>
    <t>T ≤ 25</t>
  </si>
  <si>
    <t>P(T ≤ 25) = 0.5000</t>
  </si>
  <si>
    <t>e3</t>
  </si>
  <si>
    <t>T ≤ 23</t>
  </si>
  <si>
    <t>P(T ≤ 23) = 0.0548</t>
  </si>
  <si>
    <t>e4</t>
  </si>
  <si>
    <t>T ≥ 27</t>
  </si>
  <si>
    <t>P(T ≥ 27) = 0.0548</t>
  </si>
  <si>
    <t>e5</t>
  </si>
  <si>
    <t>25 ≤ T ≤ 27</t>
  </si>
  <si>
    <t>P(25 ≤ T ≤ 27) = 0.4452</t>
  </si>
  <si>
    <t>Duración para una probabilidad objetivo: T_p = t_e + Z·σ</t>
  </si>
  <si>
    <t>Probabilidad objetivo</t>
  </si>
  <si>
    <t>T_p exacto</t>
  </si>
  <si>
    <t>T_p con Z de tabla</t>
  </si>
  <si>
    <t>Duración a especificar (entero superior)</t>
  </si>
  <si>
    <t>f</t>
  </si>
  <si>
    <t>P = 0.9 → 27 semanas</t>
  </si>
  <si>
    <t>Z de tabla = menor Z con 2 decimales cuya P(Z) tabulada alcanza la probabilidad objetivo.</t>
  </si>
  <si>
    <t>Resultados finales</t>
  </si>
  <si>
    <t>Ejemplo 4.2 — PERT probabilístico (material de referencia)</t>
  </si>
  <si>
    <t>Parte</t>
  </si>
  <si>
    <t>Respuesta</t>
  </si>
  <si>
    <t>Valor clave (vinculado)</t>
  </si>
  <si>
    <t>Represente el proyecto mediante una red ACTIVIDAD - NODO</t>
  </si>
  <si>
    <t>Red actividad-nodo en la hoja 'Red AON' con la simbología de nodo de seis casillas.</t>
  </si>
  <si>
    <t>Calcule el tiempo esperado y la varianza de cada actividad, suponiendo una distribución beta unimodal de probabilidad.</t>
  </si>
  <si>
    <t>(hoja 'PERT') A: t_e = 3, σ² = 4/9; B: t_e = 3, σ² = 4/9; C: t_e = 5, σ² = 1/9; D: t_e = 4, σ² = 1; E: t_e = 8, σ² = 1/9; F: t_e = 6, σ² = 4/9; G: t_e = 5, σ² = 1/9; H: t_e = 9, σ² = 4/9; I: t_e = 3, σ² = 4/9.</t>
  </si>
  <si>
    <t>c</t>
  </si>
  <si>
    <t>Calcule el tiempo de inicio esperado más temprano, el tiempo de inicio esperado más tarde, el tiempo de finalización esperado más temprano, el tiempo de finalización esperado más tarde y la holgura esperada, para cada una de las actividades del proyecto.</t>
  </si>
  <si>
    <t>(hoja 'CPM') A: IC 0, TC 3, IL 0, TL 3, holgura 0; B: IC 3, TC 6, IL 4, TL 7, holgura 1; C: IC 6, TC 11, IL 12, TL 17, holgura 6; D: IC 6, TC 10, IL 7, TL 11, holgura 1; E: IC 3, TC 11, IL 3, TL 11, holgura 0; F: IC 11, TC 17, IL 11, TL 17, holgura 0; G: IC 17, TC 22, IL 17, TL 22, holgura 0; H: IC 11, TC 20, IL 13, TL 22, holgura 2; I: IC 22, TC 25, IL 22, TL 25, holgura 0.</t>
  </si>
  <si>
    <t>d</t>
  </si>
  <si>
    <t>Especifique la ruta crítica, el tiempo esperado de conclusión del proyecto y su varianza esperada.</t>
  </si>
  <si>
    <t>Ruta crítica: A – E – F – G – I. Tiempo esperado mínimo del proyecto (t_e): 25 semanas. Varianza del proyecto: σ² = 4/9 + 1/9 + 4/9 + 1/9 + 4/9 = 14/9 ≈ 1.5556; desviación estándar σ = √(14/9) = 1.2472.</t>
  </si>
  <si>
    <t>e</t>
  </si>
  <si>
    <t>Encuentre la probabilidad de que las actividades de la ruta crítica concluyan dentro de 27 semanas; dentro de 25 semanas; dentro de 23 semanas;, en más de 27 semanas; entre 25 y 27 semanas.</t>
  </si>
  <si>
    <t>P(T ≤ 27) = 0.9452 (Z = 1.6036; exacta: 0.9456); P(T ≤ 25) = 0.5000 (Z = 0; exacta: 0.5000); P(T ≤ 23) = 0.0548 (Z = -1.6036; exacta: 0.0544); P(T ≥ 27) = 0.0548 (Z = 1.6036; exacta: 0.0544); P(25 ≤ T ≤ 27) = 0.4452 (Z = 1.6036, Z = 0; exacta: 0.4456).</t>
  </si>
  <si>
    <t>¿Cuántas semanas permitirá una probabilidad del 90%, para concluir la ruta crítica a tiempo?</t>
  </si>
  <si>
    <t>Para 90 %: Z = 1.2816 → T = 26.5984; con tabla Z = 1.29 → T = 26.6089; duración a especificar: 27 semanas.</t>
  </si>
  <si>
    <t>Procedencia de los datos</t>
  </si>
  <si>
    <t>Actividades</t>
  </si>
  <si>
    <t>Campo</t>
  </si>
  <si>
    <t>Extraído del documento</t>
  </si>
  <si>
    <t>Inferido</t>
  </si>
  <si>
    <t>A.predecessors, B.predecessors, C.predecessors, D.predecessors, E.predecessors, F.predecessors, G.predecessors, H.predecessors, I.predecessors</t>
  </si>
  <si>
    <t>Supuestos e inferencias</t>
  </si>
  <si>
    <t>Valor</t>
  </si>
  <si>
    <t>Justificación</t>
  </si>
  <si>
    <t>requested_outputs</t>
  </si>
  <si>
    <t>NETWORK_DIAGRAM</t>
  </si>
  <si>
    <t>Question 'a' asks for it.</t>
  </si>
  <si>
    <t>ACTIVITY_ESTIMATES</t>
  </si>
  <si>
    <t>Question 'b' asks for it.</t>
  </si>
  <si>
    <t>EARLY_LATE_TIMES</t>
  </si>
  <si>
    <t>Question 'c' asks for it.</t>
  </si>
  <si>
    <t>SLACK</t>
  </si>
  <si>
    <t>CRITICAL_PATH</t>
  </si>
  <si>
    <t>Question 'd' asks for it.</t>
  </si>
  <si>
    <t>EXPECTED_DURATION</t>
  </si>
  <si>
    <t>VARIANCE</t>
  </si>
  <si>
    <t>PROBABILITY_QUERY</t>
  </si>
  <si>
    <t>Question 'e' asks for it.</t>
  </si>
  <si>
    <t>PERCENTILE_DURATION</t>
  </si>
  <si>
    <t>Question 'f' asks for it.</t>
  </si>
  <si>
    <t>calculation_method</t>
  </si>
  <si>
    <t>PERT</t>
  </si>
  <si>
    <t>Every activity has optimistic, most likely and pessimistic durations.</t>
  </si>
  <si>
    <t>Validación independiente de los cálculos</t>
  </si>
  <si>
    <t>Verificación</t>
  </si>
  <si>
    <t>¿Correcta?</t>
  </si>
  <si>
    <t>Detalle</t>
  </si>
  <si>
    <t>network arcs match the activity predecessor lists</t>
  </si>
  <si>
    <t>ok</t>
  </si>
  <si>
    <t>PERT t_e = a/6 + 2m/3 + b/6 and σ² = (b−a)²/36</t>
  </si>
  <si>
    <t>schedule: durations match their source</t>
  </si>
  <si>
    <t>schedule: EF−ES = LF−LS = duration and LS−ES = LF−EF</t>
  </si>
  <si>
    <t>schedule: every precedence respected</t>
  </si>
  <si>
    <t>schedule: project duration = longest path (independent relaxation)</t>
  </si>
  <si>
    <t>schedule: each critical path sums to the project duration</t>
  </si>
  <si>
    <t>project variance re-summed from the raw estimates</t>
  </si>
  <si>
    <t>probabilities re-derived by numerical integration of the normal pdf</t>
  </si>
  <si>
    <t>percentile durations re-derived (Φ(Z) round-trip, table rule)</t>
  </si>
  <si>
    <t>Gantt bars match ES→EF / LS→LF and critical flags</t>
  </si>
  <si>
    <t>Enunciado y datos de entrada</t>
  </si>
  <si>
    <t>Fuente</t>
  </si>
  <si>
    <t>CONCEPTOS GENERALES — hoja PERT Probabilístico</t>
  </si>
  <si>
    <t>Unidad de tiempo</t>
  </si>
  <si>
    <t>semanas</t>
  </si>
  <si>
    <t>Método</t>
  </si>
  <si>
    <t>PERT (t_e = (a + b + 4m)/6 alimenta el CPM)</t>
  </si>
  <si>
    <t>options</t>
  </si>
  <si>
    <t>probability_method=table; variance_strategy=max_variance_path</t>
  </si>
  <si>
    <t>Preguntas del ejercicio</t>
  </si>
  <si>
    <t>Salidas solicitadas</t>
  </si>
  <si>
    <t>Red actividad-nodo</t>
  </si>
  <si>
    <t>Tiempo esperado y varianza por actividad</t>
  </si>
  <si>
    <t>Tiempos de inicio y terminación, Holguras</t>
  </si>
  <si>
    <t>Ruta crítica, Duración del proyecto, Varianza del proyecto</t>
  </si>
  <si>
    <t>Probabilidades de terminación</t>
  </si>
  <si>
    <t>Duración para una probabilidad objetivo</t>
  </si>
  <si>
    <t>Red actividad-nodo, Tiempos de inicio y terminación, Holguras, Ruta crítica, Duración del proyecto, Varianza del proyecto, Tiempo esperado y varianza por actividad, Probabilidades de terminación, Duración para una probabilidad objetivo</t>
  </si>
  <si>
    <t>Consultas de probabilidad</t>
  </si>
  <si>
    <t>id</t>
  </si>
  <si>
    <t>≥</t>
  </si>
  <si>
    <t>≤</t>
  </si>
  <si>
    <t>p</t>
  </si>
  <si>
    <t>AT_MOST</t>
  </si>
  <si>
    <t>27</t>
  </si>
  <si>
    <t>encuentre la probabilidad de que las actividades de la ruta critica concluyan dentro de 27 semanas</t>
  </si>
  <si>
    <t>25</t>
  </si>
  <si>
    <t>dentro de 25 semanas</t>
  </si>
  <si>
    <t>23</t>
  </si>
  <si>
    <t>dentro de 23 semanas</t>
  </si>
  <si>
    <t>AT_LEAST</t>
  </si>
  <si>
    <t>, en mas de 27 semanas</t>
  </si>
  <si>
    <t>BETWEEN</t>
  </si>
  <si>
    <t>entre 25 y 27 semanas.</t>
  </si>
  <si>
    <t>PERCENTILE_TO_DURATION</t>
  </si>
  <si>
    <t>0.9</t>
  </si>
  <si>
    <t>Red original ACTIVIDAD - FLECHA y precedencias deducidas</t>
  </si>
  <si>
    <t>Nodo inicial</t>
  </si>
  <si>
    <t>Nodo final</t>
  </si>
  <si>
    <t>Vía ficticias</t>
  </si>
  <si>
    <t>2</t>
  </si>
  <si>
    <t>La flecha A sale del nodo 1, al que no llega ninguna actividad: actividad inicial.</t>
  </si>
  <si>
    <t>La flecha B sale del nodo 2; llegan al nodo 2: A.</t>
  </si>
  <si>
    <t>La flecha C sale del nodo 3; llegan al nodo 3: B.</t>
  </si>
  <si>
    <t>La flecha D sale del nodo 3; llegan al nodo 3: B.</t>
  </si>
  <si>
    <t>La flecha E sale del nodo 2; llegan al nodo 2: A.</t>
  </si>
  <si>
    <t>ficticia_4_5</t>
  </si>
  <si>
    <t>La flecha F sale del nodo 5; llegan al nodo 5: D; por la(s) ficticia(s) ficticia_4_5 también depende de E.</t>
  </si>
  <si>
    <t>7</t>
  </si>
  <si>
    <t>La flecha G sale del nodo 6; llegan al nodo 6: C, F.</t>
  </si>
  <si>
    <t>La flecha H sale del nodo 4; llegan al nodo 4: E.</t>
  </si>
  <si>
    <t>La flecha I sale del nodo 7; llegan al nodo 7: G, H.</t>
  </si>
  <si>
    <t>Tabla completa de actividades y procedencia de cada dato: hoja 'Datos'.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</si>
</sst>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BFBFB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9</xdr:row>
      <xdr:rowOff>0</xdr:rowOff>
    </xdr:from>
    <xdr:to>
      <xdr:col>22</xdr:col>
      <xdr:colOff>815364</xdr:colOff>
      <xdr:row>32</xdr:row>
      <xdr:rowOff>172221</xdr:rowOff>
    </xdr:to>
    <xdr:pic>
      <xdr:nvPicPr>
        <xdr:cNvPr id="2" name="Picture 1" descr="red_a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0"/>
          <a:ext cx="11978664" cy="4553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width="22.7109375" customWidth="1"/>
    <col min="2" max="2" width="60.7109375" customWidth="1"/>
    <col min="3" max="5" width="12.7109375" customWidth="1"/>
    <col min="6" max="7" width="40.7109375" customWidth="1"/>
  </cols>
  <sheetData>
    <row r="1" spans="1:3">
      <c r="A1" s="1" t="s">
        <v>143</v>
      </c>
    </row>
    <row r="2" spans="1:3">
      <c r="A2" s="2" t="s">
        <v>206</v>
      </c>
    </row>
    <row r="4" spans="1:3">
      <c r="A4" s="3" t="s">
        <v>207</v>
      </c>
      <c r="B4" s="4" t="s">
        <v>208</v>
      </c>
    </row>
    <row r="5" spans="1:3">
      <c r="A5" s="3" t="s">
        <v>209</v>
      </c>
      <c r="B5" s="4" t="s">
        <v>210</v>
      </c>
    </row>
    <row r="6" spans="1:3">
      <c r="A6" s="3" t="s">
        <v>211</v>
      </c>
      <c r="B6" s="4" t="s">
        <v>212</v>
      </c>
    </row>
    <row r="7" spans="1:3">
      <c r="A7" s="3" t="s">
        <v>213</v>
      </c>
      <c r="B7" s="4" t="s">
        <v>214</v>
      </c>
    </row>
    <row r="9" spans="1:3">
      <c r="A9" s="3" t="s">
        <v>215</v>
      </c>
    </row>
    <row r="10" spans="1:3">
      <c r="A10" s="5" t="s">
        <v>144</v>
      </c>
      <c r="B10" s="5" t="s">
        <v>109</v>
      </c>
      <c r="C10" s="5" t="s">
        <v>216</v>
      </c>
    </row>
    <row r="11" spans="1:3">
      <c r="A11" s="6" t="s">
        <v>28</v>
      </c>
      <c r="B11" s="6" t="s">
        <v>147</v>
      </c>
      <c r="C11" s="6" t="s">
        <v>217</v>
      </c>
    </row>
    <row r="12" spans="1:3">
      <c r="A12" s="6" t="s">
        <v>30</v>
      </c>
      <c r="B12" s="6" t="s">
        <v>149</v>
      </c>
      <c r="C12" s="6" t="s">
        <v>218</v>
      </c>
    </row>
    <row r="13" spans="1:3">
      <c r="A13" s="6" t="s">
        <v>151</v>
      </c>
      <c r="B13" s="6" t="s">
        <v>152</v>
      </c>
      <c r="C13" s="6" t="s">
        <v>219</v>
      </c>
    </row>
    <row r="14" spans="1:3">
      <c r="A14" s="6" t="s">
        <v>154</v>
      </c>
      <c r="B14" s="6" t="s">
        <v>155</v>
      </c>
      <c r="C14" s="6" t="s">
        <v>220</v>
      </c>
    </row>
    <row r="15" spans="1:3">
      <c r="A15" s="6" t="s">
        <v>157</v>
      </c>
      <c r="B15" s="6" t="s">
        <v>158</v>
      </c>
      <c r="C15" s="6" t="s">
        <v>221</v>
      </c>
    </row>
    <row r="16" spans="1:3">
      <c r="A16" s="6" t="s">
        <v>139</v>
      </c>
      <c r="B16" s="6" t="s">
        <v>160</v>
      </c>
      <c r="C16" s="6" t="s">
        <v>222</v>
      </c>
    </row>
    <row r="18" spans="1:7">
      <c r="A18" s="3" t="s">
        <v>216</v>
      </c>
      <c r="B18" s="4" t="s">
        <v>223</v>
      </c>
    </row>
    <row r="20" spans="1:7">
      <c r="A20" s="3" t="s">
        <v>224</v>
      </c>
    </row>
    <row r="21" spans="1:7">
      <c r="A21" s="5" t="s">
        <v>225</v>
      </c>
      <c r="B21" s="5" t="s">
        <v>110</v>
      </c>
      <c r="C21" s="5" t="s">
        <v>226</v>
      </c>
      <c r="D21" s="5" t="s">
        <v>227</v>
      </c>
      <c r="E21" s="5" t="s">
        <v>228</v>
      </c>
      <c r="F21" s="5" t="s">
        <v>9</v>
      </c>
      <c r="G21" s="5" t="s">
        <v>207</v>
      </c>
    </row>
    <row r="22" spans="1:7">
      <c r="A22" s="6" t="s">
        <v>119</v>
      </c>
      <c r="B22" s="6" t="s">
        <v>229</v>
      </c>
      <c r="C22" s="6" t="s">
        <v>11</v>
      </c>
      <c r="D22" s="6" t="s">
        <v>230</v>
      </c>
      <c r="E22" s="6" t="s">
        <v>11</v>
      </c>
      <c r="F22" s="6" t="s">
        <v>166</v>
      </c>
      <c r="G22" s="6" t="s">
        <v>231</v>
      </c>
    </row>
    <row r="23" spans="1:7">
      <c r="A23" s="6" t="s">
        <v>122</v>
      </c>
      <c r="B23" s="6" t="s">
        <v>229</v>
      </c>
      <c r="C23" s="6" t="s">
        <v>11</v>
      </c>
      <c r="D23" s="6" t="s">
        <v>232</v>
      </c>
      <c r="E23" s="6" t="s">
        <v>11</v>
      </c>
      <c r="F23" s="6" t="s">
        <v>166</v>
      </c>
      <c r="G23" s="6" t="s">
        <v>233</v>
      </c>
    </row>
    <row r="24" spans="1:7">
      <c r="A24" s="6" t="s">
        <v>125</v>
      </c>
      <c r="B24" s="6" t="s">
        <v>229</v>
      </c>
      <c r="C24" s="6" t="s">
        <v>11</v>
      </c>
      <c r="D24" s="6" t="s">
        <v>234</v>
      </c>
      <c r="E24" s="6" t="s">
        <v>11</v>
      </c>
      <c r="F24" s="6" t="s">
        <v>166</v>
      </c>
      <c r="G24" s="6" t="s">
        <v>235</v>
      </c>
    </row>
    <row r="25" spans="1:7">
      <c r="A25" s="6" t="s">
        <v>128</v>
      </c>
      <c r="B25" s="6" t="s">
        <v>236</v>
      </c>
      <c r="C25" s="6" t="s">
        <v>230</v>
      </c>
      <c r="D25" s="6" t="s">
        <v>11</v>
      </c>
      <c r="E25" s="6" t="s">
        <v>11</v>
      </c>
      <c r="F25" s="6" t="s">
        <v>166</v>
      </c>
      <c r="G25" s="6" t="s">
        <v>237</v>
      </c>
    </row>
    <row r="26" spans="1:7">
      <c r="A26" s="6" t="s">
        <v>131</v>
      </c>
      <c r="B26" s="6" t="s">
        <v>238</v>
      </c>
      <c r="C26" s="6" t="s">
        <v>232</v>
      </c>
      <c r="D26" s="6" t="s">
        <v>230</v>
      </c>
      <c r="E26" s="6" t="s">
        <v>11</v>
      </c>
      <c r="F26" s="6" t="s">
        <v>166</v>
      </c>
      <c r="G26" s="6" t="s">
        <v>239</v>
      </c>
    </row>
    <row r="27" spans="1:7">
      <c r="A27" s="6" t="s">
        <v>139</v>
      </c>
      <c r="B27" s="6" t="s">
        <v>240</v>
      </c>
      <c r="C27" s="6" t="s">
        <v>11</v>
      </c>
      <c r="D27" s="6" t="s">
        <v>11</v>
      </c>
      <c r="E27" s="6" t="s">
        <v>241</v>
      </c>
      <c r="F27" s="6" t="s">
        <v>166</v>
      </c>
      <c r="G27" s="6" t="s">
        <v>160</v>
      </c>
    </row>
    <row r="29" spans="1:7">
      <c r="A29" s="3" t="s">
        <v>242</v>
      </c>
    </row>
    <row r="30" spans="1:7">
      <c r="A30" s="5" t="s">
        <v>2</v>
      </c>
      <c r="B30" s="5" t="s">
        <v>243</v>
      </c>
      <c r="C30" s="5" t="s">
        <v>244</v>
      </c>
      <c r="D30" s="5" t="s">
        <v>4</v>
      </c>
      <c r="E30" s="5" t="s">
        <v>245</v>
      </c>
      <c r="F30" s="5" t="s">
        <v>170</v>
      </c>
    </row>
    <row r="31" spans="1:7">
      <c r="A31" s="6" t="s">
        <v>10</v>
      </c>
      <c r="B31" s="6" t="s">
        <v>47</v>
      </c>
      <c r="C31" s="6" t="s">
        <v>246</v>
      </c>
      <c r="D31" s="6" t="s">
        <v>12</v>
      </c>
      <c r="E31" s="6" t="s">
        <v>11</v>
      </c>
      <c r="F31" s="6" t="s">
        <v>247</v>
      </c>
    </row>
    <row r="32" spans="1:7">
      <c r="A32" s="6" t="s">
        <v>15</v>
      </c>
      <c r="B32" s="6" t="s">
        <v>246</v>
      </c>
      <c r="C32" s="6" t="s">
        <v>38</v>
      </c>
      <c r="D32" s="6" t="s">
        <v>10</v>
      </c>
      <c r="E32" s="6" t="s">
        <v>11</v>
      </c>
      <c r="F32" s="6" t="s">
        <v>248</v>
      </c>
    </row>
    <row r="33" spans="1:6">
      <c r="A33" s="6" t="s">
        <v>16</v>
      </c>
      <c r="B33" s="6" t="s">
        <v>38</v>
      </c>
      <c r="C33" s="6" t="s">
        <v>53</v>
      </c>
      <c r="D33" s="6" t="s">
        <v>15</v>
      </c>
      <c r="E33" s="6" t="s">
        <v>11</v>
      </c>
      <c r="F33" s="6" t="s">
        <v>249</v>
      </c>
    </row>
    <row r="34" spans="1:6">
      <c r="A34" s="6" t="s">
        <v>17</v>
      </c>
      <c r="B34" s="6" t="s">
        <v>38</v>
      </c>
      <c r="C34" s="6" t="s">
        <v>42</v>
      </c>
      <c r="D34" s="6" t="s">
        <v>15</v>
      </c>
      <c r="E34" s="6" t="s">
        <v>11</v>
      </c>
      <c r="F34" s="6" t="s">
        <v>250</v>
      </c>
    </row>
    <row r="35" spans="1:6">
      <c r="A35" s="6" t="s">
        <v>18</v>
      </c>
      <c r="B35" s="6" t="s">
        <v>246</v>
      </c>
      <c r="C35" s="6" t="s">
        <v>46</v>
      </c>
      <c r="D35" s="6" t="s">
        <v>10</v>
      </c>
      <c r="E35" s="6" t="s">
        <v>11</v>
      </c>
      <c r="F35" s="6" t="s">
        <v>251</v>
      </c>
    </row>
    <row r="36" spans="1:6">
      <c r="A36" s="6" t="s">
        <v>19</v>
      </c>
      <c r="B36" s="6" t="s">
        <v>42</v>
      </c>
      <c r="C36" s="6" t="s">
        <v>53</v>
      </c>
      <c r="D36" s="6" t="s">
        <v>20</v>
      </c>
      <c r="E36" s="6" t="s">
        <v>252</v>
      </c>
      <c r="F36" s="6" t="s">
        <v>253</v>
      </c>
    </row>
    <row r="37" spans="1:6">
      <c r="A37" s="6" t="s">
        <v>21</v>
      </c>
      <c r="B37" s="6" t="s">
        <v>53</v>
      </c>
      <c r="C37" s="6" t="s">
        <v>254</v>
      </c>
      <c r="D37" s="6" t="s">
        <v>22</v>
      </c>
      <c r="E37" s="6" t="s">
        <v>11</v>
      </c>
      <c r="F37" s="6" t="s">
        <v>255</v>
      </c>
    </row>
    <row r="38" spans="1:6">
      <c r="A38" s="6" t="s">
        <v>23</v>
      </c>
      <c r="B38" s="6" t="s">
        <v>46</v>
      </c>
      <c r="C38" s="6" t="s">
        <v>254</v>
      </c>
      <c r="D38" s="6" t="s">
        <v>18</v>
      </c>
      <c r="E38" s="6" t="s">
        <v>11</v>
      </c>
      <c r="F38" s="6" t="s">
        <v>256</v>
      </c>
    </row>
    <row r="39" spans="1:6">
      <c r="A39" s="6" t="s">
        <v>24</v>
      </c>
      <c r="B39" s="6" t="s">
        <v>254</v>
      </c>
      <c r="C39" s="6" t="s">
        <v>50</v>
      </c>
      <c r="D39" s="6" t="s">
        <v>25</v>
      </c>
      <c r="E39" s="6" t="s">
        <v>11</v>
      </c>
      <c r="F39" s="6" t="s">
        <v>257</v>
      </c>
    </row>
    <row r="41" spans="1:6">
      <c r="A41" s="3" t="s">
        <v>168</v>
      </c>
    </row>
    <row r="42" spans="1:6">
      <c r="A42" s="5" t="s">
        <v>164</v>
      </c>
      <c r="B42" s="5" t="s">
        <v>169</v>
      </c>
      <c r="C42" s="5" t="s">
        <v>170</v>
      </c>
      <c r="D42" s="5" t="s">
        <v>9</v>
      </c>
    </row>
    <row r="43" spans="1:6">
      <c r="A43" s="6" t="s">
        <v>171</v>
      </c>
      <c r="B43" s="6" t="s">
        <v>172</v>
      </c>
      <c r="C43" s="6" t="s">
        <v>173</v>
      </c>
      <c r="D43" s="6" t="s">
        <v>166</v>
      </c>
    </row>
    <row r="44" spans="1:6">
      <c r="A44" s="6" t="s">
        <v>171</v>
      </c>
      <c r="B44" s="6" t="s">
        <v>174</v>
      </c>
      <c r="C44" s="6" t="s">
        <v>175</v>
      </c>
      <c r="D44" s="6" t="s">
        <v>166</v>
      </c>
    </row>
    <row r="45" spans="1:6">
      <c r="A45" s="6" t="s">
        <v>171</v>
      </c>
      <c r="B45" s="6" t="s">
        <v>176</v>
      </c>
      <c r="C45" s="6" t="s">
        <v>177</v>
      </c>
      <c r="D45" s="6" t="s">
        <v>166</v>
      </c>
    </row>
    <row r="46" spans="1:6">
      <c r="A46" s="6" t="s">
        <v>171</v>
      </c>
      <c r="B46" s="6" t="s">
        <v>178</v>
      </c>
      <c r="C46" s="6" t="s">
        <v>177</v>
      </c>
      <c r="D46" s="6" t="s">
        <v>166</v>
      </c>
    </row>
    <row r="47" spans="1:6">
      <c r="A47" s="6" t="s">
        <v>171</v>
      </c>
      <c r="B47" s="6" t="s">
        <v>179</v>
      </c>
      <c r="C47" s="6" t="s">
        <v>180</v>
      </c>
      <c r="D47" s="6" t="s">
        <v>166</v>
      </c>
    </row>
    <row r="48" spans="1:6">
      <c r="A48" s="6" t="s">
        <v>171</v>
      </c>
      <c r="B48" s="6" t="s">
        <v>181</v>
      </c>
      <c r="C48" s="6" t="s">
        <v>180</v>
      </c>
      <c r="D48" s="6" t="s">
        <v>166</v>
      </c>
    </row>
    <row r="49" spans="1:4">
      <c r="A49" s="6" t="s">
        <v>171</v>
      </c>
      <c r="B49" s="6" t="s">
        <v>182</v>
      </c>
      <c r="C49" s="6" t="s">
        <v>180</v>
      </c>
      <c r="D49" s="6" t="s">
        <v>166</v>
      </c>
    </row>
    <row r="50" spans="1:4">
      <c r="A50" s="6" t="s">
        <v>171</v>
      </c>
      <c r="B50" s="6" t="s">
        <v>183</v>
      </c>
      <c r="C50" s="6" t="s">
        <v>184</v>
      </c>
      <c r="D50" s="6" t="s">
        <v>166</v>
      </c>
    </row>
    <row r="51" spans="1:4">
      <c r="A51" s="6" t="s">
        <v>171</v>
      </c>
      <c r="B51" s="6" t="s">
        <v>185</v>
      </c>
      <c r="C51" s="6" t="s">
        <v>186</v>
      </c>
      <c r="D51" s="6" t="s">
        <v>166</v>
      </c>
    </row>
    <row r="52" spans="1:4">
      <c r="A52" s="6" t="s">
        <v>187</v>
      </c>
      <c r="B52" s="6" t="s">
        <v>188</v>
      </c>
      <c r="C52" s="6" t="s">
        <v>189</v>
      </c>
      <c r="D52" s="6" t="s">
        <v>166</v>
      </c>
    </row>
    <row r="54" spans="1:4">
      <c r="A54" s="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3" width="18.7109375" customWidth="1"/>
    <col min="4" max="7" width="13.7109375" customWidth="1"/>
    <col min="8" max="8" width="42.7109375" customWidth="1"/>
  </cols>
  <sheetData>
    <row r="1" spans="1:8">
      <c r="A1" s="1" t="s">
        <v>0</v>
      </c>
    </row>
    <row r="2" spans="1:8">
      <c r="A2" s="2" t="s">
        <v>1</v>
      </c>
    </row>
    <row r="4" spans="1:8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</row>
    <row r="5" spans="1:8">
      <c r="A5" s="7" t="s">
        <v>10</v>
      </c>
      <c r="B5" s="6" t="s">
        <v>11</v>
      </c>
      <c r="C5" s="6" t="s">
        <v>12</v>
      </c>
      <c r="D5" s="7" t="s">
        <v>13</v>
      </c>
      <c r="E5" s="8">
        <v>1</v>
      </c>
      <c r="F5" s="8">
        <v>3</v>
      </c>
      <c r="G5" s="8">
        <v>5</v>
      </c>
      <c r="H5" s="6" t="s">
        <v>14</v>
      </c>
    </row>
    <row r="6" spans="1:8">
      <c r="A6" s="7" t="s">
        <v>15</v>
      </c>
      <c r="B6" s="6" t="s">
        <v>11</v>
      </c>
      <c r="C6" s="6" t="s">
        <v>10</v>
      </c>
      <c r="D6" s="7" t="s">
        <v>13</v>
      </c>
      <c r="E6" s="8">
        <v>1</v>
      </c>
      <c r="F6" s="8">
        <v>3</v>
      </c>
      <c r="G6" s="8">
        <v>5</v>
      </c>
      <c r="H6" s="6" t="s">
        <v>14</v>
      </c>
    </row>
    <row r="7" spans="1:8">
      <c r="A7" s="7" t="s">
        <v>16</v>
      </c>
      <c r="B7" s="6" t="s">
        <v>11</v>
      </c>
      <c r="C7" s="6" t="s">
        <v>15</v>
      </c>
      <c r="D7" s="7" t="s">
        <v>13</v>
      </c>
      <c r="E7" s="8">
        <v>4</v>
      </c>
      <c r="F7" s="8">
        <v>5</v>
      </c>
      <c r="G7" s="8">
        <v>6</v>
      </c>
      <c r="H7" s="6" t="s">
        <v>14</v>
      </c>
    </row>
    <row r="8" spans="1:8">
      <c r="A8" s="7" t="s">
        <v>17</v>
      </c>
      <c r="B8" s="6" t="s">
        <v>11</v>
      </c>
      <c r="C8" s="6" t="s">
        <v>15</v>
      </c>
      <c r="D8" s="7" t="s">
        <v>13</v>
      </c>
      <c r="E8" s="8">
        <v>1</v>
      </c>
      <c r="F8" s="8">
        <v>4</v>
      </c>
      <c r="G8" s="8">
        <v>7</v>
      </c>
      <c r="H8" s="6" t="s">
        <v>14</v>
      </c>
    </row>
    <row r="9" spans="1:8">
      <c r="A9" s="7" t="s">
        <v>18</v>
      </c>
      <c r="B9" s="6" t="s">
        <v>11</v>
      </c>
      <c r="C9" s="6" t="s">
        <v>10</v>
      </c>
      <c r="D9" s="7" t="s">
        <v>13</v>
      </c>
      <c r="E9" s="8">
        <v>7</v>
      </c>
      <c r="F9" s="8">
        <v>8</v>
      </c>
      <c r="G9" s="8">
        <v>9</v>
      </c>
      <c r="H9" s="6" t="s">
        <v>14</v>
      </c>
    </row>
    <row r="10" spans="1:8">
      <c r="A10" s="7" t="s">
        <v>19</v>
      </c>
      <c r="B10" s="6" t="s">
        <v>11</v>
      </c>
      <c r="C10" s="6" t="s">
        <v>20</v>
      </c>
      <c r="D10" s="7" t="s">
        <v>13</v>
      </c>
      <c r="E10" s="8">
        <v>4</v>
      </c>
      <c r="F10" s="8">
        <v>6</v>
      </c>
      <c r="G10" s="8">
        <v>8</v>
      </c>
      <c r="H10" s="6" t="s">
        <v>14</v>
      </c>
    </row>
    <row r="11" spans="1:8">
      <c r="A11" s="7" t="s">
        <v>21</v>
      </c>
      <c r="B11" s="6" t="s">
        <v>11</v>
      </c>
      <c r="C11" s="6" t="s">
        <v>22</v>
      </c>
      <c r="D11" s="7" t="s">
        <v>13</v>
      </c>
      <c r="E11" s="8">
        <v>4</v>
      </c>
      <c r="F11" s="8">
        <v>5</v>
      </c>
      <c r="G11" s="8">
        <v>6</v>
      </c>
      <c r="H11" s="6" t="s">
        <v>14</v>
      </c>
    </row>
    <row r="12" spans="1:8">
      <c r="A12" s="7" t="s">
        <v>23</v>
      </c>
      <c r="B12" s="6" t="s">
        <v>11</v>
      </c>
      <c r="C12" s="6" t="s">
        <v>18</v>
      </c>
      <c r="D12" s="7" t="s">
        <v>13</v>
      </c>
      <c r="E12" s="8">
        <v>7</v>
      </c>
      <c r="F12" s="8">
        <v>9</v>
      </c>
      <c r="G12" s="8">
        <v>11</v>
      </c>
      <c r="H12" s="6" t="s">
        <v>14</v>
      </c>
    </row>
    <row r="13" spans="1:8">
      <c r="A13" s="7" t="s">
        <v>24</v>
      </c>
      <c r="B13" s="6" t="s">
        <v>11</v>
      </c>
      <c r="C13" s="6" t="s">
        <v>25</v>
      </c>
      <c r="D13" s="7" t="s">
        <v>13</v>
      </c>
      <c r="E13" s="8">
        <v>1</v>
      </c>
      <c r="F13" s="8">
        <v>3</v>
      </c>
      <c r="G13" s="8">
        <v>5</v>
      </c>
      <c r="H13" s="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cols>
    <col min="1" max="4" width="9.7109375" customWidth="1"/>
    <col min="5" max="8" width="14.7109375" customWidth="1"/>
    <col min="9" max="10" width="30.7109375" customWidth="1"/>
    <col min="11" max="11" width="10.7109375" customWidth="1"/>
  </cols>
  <sheetData>
    <row r="1" spans="1:11">
      <c r="A1" s="1" t="s">
        <v>26</v>
      </c>
    </row>
    <row r="2" spans="1:11">
      <c r="A2" s="3" t="s">
        <v>27</v>
      </c>
    </row>
    <row r="5" spans="1:11">
      <c r="A5" s="5" t="s">
        <v>2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</row>
    <row r="6" spans="1:11">
      <c r="A6" s="7" t="s">
        <v>10</v>
      </c>
      <c r="B6" s="8">
        <f>'Datos'!$E$5</f>
        <v>1</v>
      </c>
      <c r="C6" s="8">
        <f>'Datos'!$F$5</f>
        <v>3</v>
      </c>
      <c r="D6" s="8">
        <f>'Datos'!$G$5</f>
        <v>5</v>
      </c>
      <c r="E6" s="8">
        <f>(B6+D6+4*C6)/6</f>
        <v>3</v>
      </c>
      <c r="F6" s="9">
        <f>((D6-B6)/6)^2</f>
        <v>0.4444444444444444</v>
      </c>
      <c r="G6" s="7" t="s">
        <v>38</v>
      </c>
      <c r="H6" s="7" t="s">
        <v>39</v>
      </c>
      <c r="I6" s="6" t="s">
        <v>40</v>
      </c>
      <c r="J6" s="6" t="s">
        <v>41</v>
      </c>
      <c r="K6" s="7" t="str">
        <f>'CPM'!$L$6</f>
        <v>Sí</v>
      </c>
    </row>
    <row r="7" spans="1:11">
      <c r="A7" s="7" t="s">
        <v>15</v>
      </c>
      <c r="B7" s="8">
        <f>'Datos'!$E$6</f>
        <v>1</v>
      </c>
      <c r="C7" s="8">
        <f>'Datos'!$F$6</f>
        <v>3</v>
      </c>
      <c r="D7" s="8">
        <f>'Datos'!$G$6</f>
        <v>5</v>
      </c>
      <c r="E7" s="8">
        <f>(B7+D7+4*C7)/6</f>
        <v>3</v>
      </c>
      <c r="F7" s="9">
        <f>((D7-B7)/6)^2</f>
        <v>0.4444444444444444</v>
      </c>
      <c r="G7" s="7" t="s">
        <v>38</v>
      </c>
      <c r="H7" s="7" t="s">
        <v>39</v>
      </c>
      <c r="I7" s="6" t="s">
        <v>40</v>
      </c>
      <c r="J7" s="6" t="s">
        <v>41</v>
      </c>
      <c r="K7" s="7" t="str">
        <f>'CPM'!$L$7</f>
        <v>No</v>
      </c>
    </row>
    <row r="8" spans="1:11">
      <c r="A8" s="7" t="s">
        <v>16</v>
      </c>
      <c r="B8" s="8">
        <f>'Datos'!$E$7</f>
        <v>4</v>
      </c>
      <c r="C8" s="8">
        <f>'Datos'!$F$7</f>
        <v>5</v>
      </c>
      <c r="D8" s="8">
        <f>'Datos'!$G$7</f>
        <v>6</v>
      </c>
      <c r="E8" s="8">
        <f>(B8+D8+4*C8)/6</f>
        <v>5</v>
      </c>
      <c r="F8" s="9">
        <f>((D8-B8)/6)^2</f>
        <v>0.1111111111111111</v>
      </c>
      <c r="G8" s="7" t="s">
        <v>42</v>
      </c>
      <c r="H8" s="7" t="s">
        <v>43</v>
      </c>
      <c r="I8" s="6" t="s">
        <v>44</v>
      </c>
      <c r="J8" s="6" t="s">
        <v>45</v>
      </c>
      <c r="K8" s="7" t="str">
        <f>'CPM'!$L$8</f>
        <v>No</v>
      </c>
    </row>
    <row r="9" spans="1:11">
      <c r="A9" s="7" t="s">
        <v>17</v>
      </c>
      <c r="B9" s="8">
        <f>'Datos'!$E$8</f>
        <v>1</v>
      </c>
      <c r="C9" s="8">
        <f>'Datos'!$F$8</f>
        <v>4</v>
      </c>
      <c r="D9" s="8">
        <f>'Datos'!$G$8</f>
        <v>7</v>
      </c>
      <c r="E9" s="8">
        <f>(B9+D9+4*C9)/6</f>
        <v>4</v>
      </c>
      <c r="F9" s="8">
        <f>((D9-B9)/6)^2</f>
        <v>1</v>
      </c>
      <c r="G9" s="7" t="s">
        <v>46</v>
      </c>
      <c r="H9" s="7" t="s">
        <v>47</v>
      </c>
      <c r="I9" s="6" t="s">
        <v>48</v>
      </c>
      <c r="J9" s="6" t="s">
        <v>49</v>
      </c>
      <c r="K9" s="7" t="str">
        <f>'CPM'!$L$9</f>
        <v>No</v>
      </c>
    </row>
    <row r="10" spans="1:11">
      <c r="A10" s="7" t="s">
        <v>18</v>
      </c>
      <c r="B10" s="8">
        <f>'Datos'!$E$9</f>
        <v>7</v>
      </c>
      <c r="C10" s="8">
        <f>'Datos'!$F$9</f>
        <v>8</v>
      </c>
      <c r="D10" s="8">
        <f>'Datos'!$G$9</f>
        <v>9</v>
      </c>
      <c r="E10" s="8">
        <f>(B10+D10+4*C10)/6</f>
        <v>8</v>
      </c>
      <c r="F10" s="9">
        <f>((D10-B10)/6)^2</f>
        <v>0.1111111111111111</v>
      </c>
      <c r="G10" s="7" t="s">
        <v>50</v>
      </c>
      <c r="H10" s="7" t="s">
        <v>43</v>
      </c>
      <c r="I10" s="6" t="s">
        <v>51</v>
      </c>
      <c r="J10" s="6" t="s">
        <v>52</v>
      </c>
      <c r="K10" s="7" t="str">
        <f>'CPM'!$L$10</f>
        <v>Sí</v>
      </c>
    </row>
    <row r="11" spans="1:11">
      <c r="A11" s="7" t="s">
        <v>19</v>
      </c>
      <c r="B11" s="8">
        <f>'Datos'!$E$10</f>
        <v>4</v>
      </c>
      <c r="C11" s="8">
        <f>'Datos'!$F$10</f>
        <v>6</v>
      </c>
      <c r="D11" s="8">
        <f>'Datos'!$G$10</f>
        <v>8</v>
      </c>
      <c r="E11" s="8">
        <f>(B11+D11+4*C11)/6</f>
        <v>6</v>
      </c>
      <c r="F11" s="9">
        <f>((D11-B11)/6)^2</f>
        <v>0.4444444444444444</v>
      </c>
      <c r="G11" s="7" t="s">
        <v>53</v>
      </c>
      <c r="H11" s="7" t="s">
        <v>39</v>
      </c>
      <c r="I11" s="6" t="s">
        <v>54</v>
      </c>
      <c r="J11" s="6" t="s">
        <v>55</v>
      </c>
      <c r="K11" s="7" t="str">
        <f>'CPM'!$L$11</f>
        <v>Sí</v>
      </c>
    </row>
    <row r="12" spans="1:11">
      <c r="A12" s="7" t="s">
        <v>21</v>
      </c>
      <c r="B12" s="8">
        <f>'Datos'!$E$11</f>
        <v>4</v>
      </c>
      <c r="C12" s="8">
        <f>'Datos'!$F$11</f>
        <v>5</v>
      </c>
      <c r="D12" s="8">
        <f>'Datos'!$G$11</f>
        <v>6</v>
      </c>
      <c r="E12" s="8">
        <f>(B12+D12+4*C12)/6</f>
        <v>5</v>
      </c>
      <c r="F12" s="9">
        <f>((D12-B12)/6)^2</f>
        <v>0.1111111111111111</v>
      </c>
      <c r="G12" s="7" t="s">
        <v>42</v>
      </c>
      <c r="H12" s="7" t="s">
        <v>43</v>
      </c>
      <c r="I12" s="6" t="s">
        <v>44</v>
      </c>
      <c r="J12" s="6" t="s">
        <v>45</v>
      </c>
      <c r="K12" s="7" t="str">
        <f>'CPM'!$L$12</f>
        <v>Sí</v>
      </c>
    </row>
    <row r="13" spans="1:11">
      <c r="A13" s="7" t="s">
        <v>23</v>
      </c>
      <c r="B13" s="8">
        <f>'Datos'!$E$12</f>
        <v>7</v>
      </c>
      <c r="C13" s="8">
        <f>'Datos'!$F$12</f>
        <v>9</v>
      </c>
      <c r="D13" s="8">
        <f>'Datos'!$G$12</f>
        <v>11</v>
      </c>
      <c r="E13" s="8">
        <f>(B13+D13+4*C13)/6</f>
        <v>9</v>
      </c>
      <c r="F13" s="9">
        <f>((D13-B13)/6)^2</f>
        <v>0.4444444444444444</v>
      </c>
      <c r="G13" s="7" t="s">
        <v>56</v>
      </c>
      <c r="H13" s="7" t="s">
        <v>39</v>
      </c>
      <c r="I13" s="6" t="s">
        <v>57</v>
      </c>
      <c r="J13" s="6" t="s">
        <v>58</v>
      </c>
      <c r="K13" s="7" t="str">
        <f>'CPM'!$L$13</f>
        <v>No</v>
      </c>
    </row>
    <row r="14" spans="1:11">
      <c r="A14" s="7" t="s">
        <v>24</v>
      </c>
      <c r="B14" s="8">
        <f>'Datos'!$E$13</f>
        <v>1</v>
      </c>
      <c r="C14" s="8">
        <f>'Datos'!$F$13</f>
        <v>3</v>
      </c>
      <c r="D14" s="8">
        <f>'Datos'!$G$13</f>
        <v>5</v>
      </c>
      <c r="E14" s="8">
        <f>(B14+D14+4*C14)/6</f>
        <v>3</v>
      </c>
      <c r="F14" s="9">
        <f>((D14-B14)/6)^2</f>
        <v>0.4444444444444444</v>
      </c>
      <c r="G14" s="7" t="s">
        <v>38</v>
      </c>
      <c r="H14" s="7" t="s">
        <v>39</v>
      </c>
      <c r="I14" s="6" t="s">
        <v>40</v>
      </c>
      <c r="J14" s="6" t="s">
        <v>41</v>
      </c>
      <c r="K14" s="7" t="str">
        <f>'CPM'!$L$14</f>
        <v>Sí</v>
      </c>
    </row>
    <row r="16" spans="1:11">
      <c r="A16" s="3" t="s">
        <v>59</v>
      </c>
      <c r="E16" s="3" t="s">
        <v>60</v>
      </c>
    </row>
    <row r="17" spans="1:9">
      <c r="A17" s="3" t="s">
        <v>61</v>
      </c>
      <c r="F17" s="9">
        <f>F6+F10+F11+F12+F14</f>
        <v>1.5555555555555556</v>
      </c>
      <c r="G17" s="7" t="s">
        <v>62</v>
      </c>
      <c r="I17" s="4" t="s">
        <v>63</v>
      </c>
    </row>
    <row r="18" spans="1:9">
      <c r="A18" s="3" t="s">
        <v>64</v>
      </c>
      <c r="F18" s="9">
        <f>SQRT(F17)</f>
        <v>1.247219128924647</v>
      </c>
      <c r="I18" s="4" t="s">
        <v>65</v>
      </c>
    </row>
    <row r="19" spans="1:9">
      <c r="A19" s="3" t="s">
        <v>66</v>
      </c>
      <c r="E19" s="8">
        <f>'CPM'!$D$2</f>
        <v>25</v>
      </c>
    </row>
  </sheetData>
  <conditionalFormatting sqref="A6:K14">
    <cfRule type="expression" dxfId="0" priority="1">
      <formula>$K6="Sí"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3" width="12.7109375" customWidth="1"/>
    <col min="4" max="12" width="13.7109375" customWidth="1"/>
  </cols>
  <sheetData>
    <row r="1" spans="1:12">
      <c r="A1" s="1" t="s">
        <v>67</v>
      </c>
    </row>
    <row r="2" spans="1:12">
      <c r="A2" s="3" t="s">
        <v>68</v>
      </c>
      <c r="D2" s="8">
        <f>MAX(F14)</f>
        <v>25</v>
      </c>
    </row>
    <row r="3" spans="1:12">
      <c r="A3" s="3" t="s">
        <v>69</v>
      </c>
      <c r="D3" s="3" t="s">
        <v>60</v>
      </c>
    </row>
    <row r="5" spans="1:12" ht="42" customHeight="1">
      <c r="A5" s="5" t="s">
        <v>2</v>
      </c>
      <c r="B5" s="5" t="s">
        <v>4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75</v>
      </c>
      <c r="I5" s="5" t="s">
        <v>76</v>
      </c>
      <c r="J5" s="5" t="s">
        <v>77</v>
      </c>
      <c r="K5" s="5" t="s">
        <v>78</v>
      </c>
      <c r="L5" s="5" t="s">
        <v>37</v>
      </c>
    </row>
    <row r="6" spans="1:12">
      <c r="A6" s="7" t="s">
        <v>10</v>
      </c>
      <c r="B6" s="7" t="s">
        <v>79</v>
      </c>
      <c r="C6" s="7" t="s">
        <v>80</v>
      </c>
      <c r="D6" s="8">
        <f>'PERT'!$E$6</f>
        <v>3</v>
      </c>
      <c r="E6" s="8">
        <v>0</v>
      </c>
      <c r="F6" s="8">
        <f>E6+D6</f>
        <v>3</v>
      </c>
      <c r="G6" s="8">
        <f>H6-D6</f>
        <v>0</v>
      </c>
      <c r="H6" s="8">
        <f>MIN(G7,G10)</f>
        <v>3</v>
      </c>
      <c r="I6" s="8">
        <f>ROUND(G6-E6,10)</f>
        <v>0</v>
      </c>
      <c r="J6" s="8">
        <f>ROUND(H6-F6,10)</f>
        <v>0</v>
      </c>
      <c r="K6" s="8">
        <f>ROUND(MIN(E7,E10)-F6,10)</f>
        <v>0</v>
      </c>
      <c r="L6" s="7" t="str">
        <f>IF(ABS(I6)&lt;0.000000001,"Sí","No")</f>
        <v>Sí</v>
      </c>
    </row>
    <row r="7" spans="1:12">
      <c r="A7" s="7" t="s">
        <v>15</v>
      </c>
      <c r="B7" s="7" t="s">
        <v>10</v>
      </c>
      <c r="C7" s="7" t="s">
        <v>81</v>
      </c>
      <c r="D7" s="8">
        <f>'PERT'!$E$7</f>
        <v>3</v>
      </c>
      <c r="E7" s="8">
        <f>MAX(F6)</f>
        <v>3</v>
      </c>
      <c r="F7" s="8">
        <f>E7+D7</f>
        <v>6</v>
      </c>
      <c r="G7" s="8">
        <f>H7-D7</f>
        <v>4</v>
      </c>
      <c r="H7" s="8">
        <f>MIN(G8,G9)</f>
        <v>7</v>
      </c>
      <c r="I7" s="8">
        <f>ROUND(G7-E7,10)</f>
        <v>1</v>
      </c>
      <c r="J7" s="8">
        <f>ROUND(H7-F7,10)</f>
        <v>1</v>
      </c>
      <c r="K7" s="8">
        <f>ROUND(MIN(E8,E9)-F7,10)</f>
        <v>0</v>
      </c>
      <c r="L7" s="7" t="str">
        <f>IF(ABS(I7)&lt;0.000000001,"Sí","No")</f>
        <v>No</v>
      </c>
    </row>
    <row r="8" spans="1:12">
      <c r="A8" s="7" t="s">
        <v>16</v>
      </c>
      <c r="B8" s="7" t="s">
        <v>15</v>
      </c>
      <c r="C8" s="7" t="s">
        <v>21</v>
      </c>
      <c r="D8" s="8">
        <f>'PERT'!$E$8</f>
        <v>5</v>
      </c>
      <c r="E8" s="8">
        <f>MAX(F7)</f>
        <v>6</v>
      </c>
      <c r="F8" s="8">
        <f>E8+D8</f>
        <v>11</v>
      </c>
      <c r="G8" s="8">
        <f>H8-D8</f>
        <v>12</v>
      </c>
      <c r="H8" s="8">
        <f>MIN(G12)</f>
        <v>17</v>
      </c>
      <c r="I8" s="8">
        <f>ROUND(G8-E8,10)</f>
        <v>6</v>
      </c>
      <c r="J8" s="8">
        <f>ROUND(H8-F8,10)</f>
        <v>6</v>
      </c>
      <c r="K8" s="8">
        <f>ROUND(MIN(E12)-F8,10)</f>
        <v>6</v>
      </c>
      <c r="L8" s="7" t="str">
        <f>IF(ABS(I8)&lt;0.000000001,"Sí","No")</f>
        <v>No</v>
      </c>
    </row>
    <row r="9" spans="1:12">
      <c r="A9" s="7" t="s">
        <v>17</v>
      </c>
      <c r="B9" s="7" t="s">
        <v>15</v>
      </c>
      <c r="C9" s="7" t="s">
        <v>19</v>
      </c>
      <c r="D9" s="8">
        <f>'PERT'!$E$9</f>
        <v>4</v>
      </c>
      <c r="E9" s="8">
        <f>MAX(F7)</f>
        <v>6</v>
      </c>
      <c r="F9" s="8">
        <f>E9+D9</f>
        <v>10</v>
      </c>
      <c r="G9" s="8">
        <f>H9-D9</f>
        <v>7</v>
      </c>
      <c r="H9" s="8">
        <f>MIN(G11)</f>
        <v>11</v>
      </c>
      <c r="I9" s="8">
        <f>ROUND(G9-E9,10)</f>
        <v>1</v>
      </c>
      <c r="J9" s="8">
        <f>ROUND(H9-F9,10)</f>
        <v>1</v>
      </c>
      <c r="K9" s="8">
        <f>ROUND(MIN(E11)-F9,10)</f>
        <v>1</v>
      </c>
      <c r="L9" s="7" t="str">
        <f>IF(ABS(I9)&lt;0.000000001,"Sí","No")</f>
        <v>No</v>
      </c>
    </row>
    <row r="10" spans="1:12">
      <c r="A10" s="7" t="s">
        <v>18</v>
      </c>
      <c r="B10" s="7" t="s">
        <v>10</v>
      </c>
      <c r="C10" s="7" t="s">
        <v>82</v>
      </c>
      <c r="D10" s="8">
        <f>'PERT'!$E$10</f>
        <v>8</v>
      </c>
      <c r="E10" s="8">
        <f>MAX(F6)</f>
        <v>3</v>
      </c>
      <c r="F10" s="8">
        <f>E10+D10</f>
        <v>11</v>
      </c>
      <c r="G10" s="8">
        <f>H10-D10</f>
        <v>3</v>
      </c>
      <c r="H10" s="8">
        <f>MIN(G11,G13)</f>
        <v>11</v>
      </c>
      <c r="I10" s="8">
        <f>ROUND(G10-E10,10)</f>
        <v>0</v>
      </c>
      <c r="J10" s="8">
        <f>ROUND(H10-F10,10)</f>
        <v>0</v>
      </c>
      <c r="K10" s="8">
        <f>ROUND(MIN(E11,E13)-F10,10)</f>
        <v>0</v>
      </c>
      <c r="L10" s="7" t="str">
        <f>IF(ABS(I10)&lt;0.000000001,"Sí","No")</f>
        <v>Sí</v>
      </c>
    </row>
    <row r="11" spans="1:12">
      <c r="A11" s="7" t="s">
        <v>19</v>
      </c>
      <c r="B11" s="7" t="s">
        <v>20</v>
      </c>
      <c r="C11" s="7" t="s">
        <v>21</v>
      </c>
      <c r="D11" s="8">
        <f>'PERT'!$E$11</f>
        <v>6</v>
      </c>
      <c r="E11" s="8">
        <f>MAX(F9,F10)</f>
        <v>11</v>
      </c>
      <c r="F11" s="8">
        <f>E11+D11</f>
        <v>17</v>
      </c>
      <c r="G11" s="8">
        <f>H11-D11</f>
        <v>11</v>
      </c>
      <c r="H11" s="8">
        <f>MIN(G12)</f>
        <v>17</v>
      </c>
      <c r="I11" s="8">
        <f>ROUND(G11-E11,10)</f>
        <v>0</v>
      </c>
      <c r="J11" s="8">
        <f>ROUND(H11-F11,10)</f>
        <v>0</v>
      </c>
      <c r="K11" s="8">
        <f>ROUND(MIN(E12)-F11,10)</f>
        <v>0</v>
      </c>
      <c r="L11" s="7" t="str">
        <f>IF(ABS(I11)&lt;0.000000001,"Sí","No")</f>
        <v>Sí</v>
      </c>
    </row>
    <row r="12" spans="1:12">
      <c r="A12" s="7" t="s">
        <v>21</v>
      </c>
      <c r="B12" s="7" t="s">
        <v>22</v>
      </c>
      <c r="C12" s="7" t="s">
        <v>24</v>
      </c>
      <c r="D12" s="8">
        <f>'PERT'!$E$12</f>
        <v>5</v>
      </c>
      <c r="E12" s="8">
        <f>MAX(F8,F11)</f>
        <v>17</v>
      </c>
      <c r="F12" s="8">
        <f>E12+D12</f>
        <v>22</v>
      </c>
      <c r="G12" s="8">
        <f>H12-D12</f>
        <v>17</v>
      </c>
      <c r="H12" s="8">
        <f>MIN(G14)</f>
        <v>22</v>
      </c>
      <c r="I12" s="8">
        <f>ROUND(G12-E12,10)</f>
        <v>0</v>
      </c>
      <c r="J12" s="8">
        <f>ROUND(H12-F12,10)</f>
        <v>0</v>
      </c>
      <c r="K12" s="8">
        <f>ROUND(MIN(E14)-F12,10)</f>
        <v>0</v>
      </c>
      <c r="L12" s="7" t="str">
        <f>IF(ABS(I12)&lt;0.000000001,"Sí","No")</f>
        <v>Sí</v>
      </c>
    </row>
    <row r="13" spans="1:12">
      <c r="A13" s="7" t="s">
        <v>23</v>
      </c>
      <c r="B13" s="7" t="s">
        <v>18</v>
      </c>
      <c r="C13" s="7" t="s">
        <v>24</v>
      </c>
      <c r="D13" s="8">
        <f>'PERT'!$E$13</f>
        <v>9</v>
      </c>
      <c r="E13" s="8">
        <f>MAX(F10)</f>
        <v>11</v>
      </c>
      <c r="F13" s="8">
        <f>E13+D13</f>
        <v>20</v>
      </c>
      <c r="G13" s="8">
        <f>H13-D13</f>
        <v>13</v>
      </c>
      <c r="H13" s="8">
        <f>MIN(G14)</f>
        <v>22</v>
      </c>
      <c r="I13" s="8">
        <f>ROUND(G13-E13,10)</f>
        <v>2</v>
      </c>
      <c r="J13" s="8">
        <f>ROUND(H13-F13,10)</f>
        <v>2</v>
      </c>
      <c r="K13" s="8">
        <f>ROUND(MIN(E14)-F13,10)</f>
        <v>2</v>
      </c>
      <c r="L13" s="7" t="str">
        <f>IF(ABS(I13)&lt;0.000000001,"Sí","No")</f>
        <v>No</v>
      </c>
    </row>
    <row r="14" spans="1:12">
      <c r="A14" s="7" t="s">
        <v>24</v>
      </c>
      <c r="B14" s="7" t="s">
        <v>25</v>
      </c>
      <c r="C14" s="7" t="s">
        <v>79</v>
      </c>
      <c r="D14" s="8">
        <f>'PERT'!$E$14</f>
        <v>3</v>
      </c>
      <c r="E14" s="8">
        <f>MAX(F12,F13)</f>
        <v>22</v>
      </c>
      <c r="F14" s="8">
        <f>E14+D14</f>
        <v>25</v>
      </c>
      <c r="G14" s="8">
        <f>H14-D14</f>
        <v>22</v>
      </c>
      <c r="H14" s="8">
        <f>$D$2</f>
        <v>25</v>
      </c>
      <c r="I14" s="8">
        <f>ROUND(G14-E14,10)</f>
        <v>0</v>
      </c>
      <c r="J14" s="8">
        <f>ROUND(H14-F14,10)</f>
        <v>0</v>
      </c>
      <c r="K14" s="8">
        <f>ROUND($D$2-F14,10)</f>
        <v>0</v>
      </c>
      <c r="L14" s="7" t="str">
        <f>IF(ABS(I14)&lt;0.000000001,"Sí","No")</f>
        <v>Sí</v>
      </c>
    </row>
    <row r="16" spans="1:12">
      <c r="A16" s="2" t="s">
        <v>83</v>
      </c>
    </row>
  </sheetData>
  <conditionalFormatting sqref="A6:L14">
    <cfRule type="expression" dxfId="0" priority="1">
      <formula>ABS($I6)&lt;0.000000001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sheetFormatPr defaultRowHeight="15"/>
  <cols>
    <col min="2" max="3" width="8.7109375" customWidth="1"/>
    <col min="4" max="4" width="4.7109375" customWidth="1"/>
    <col min="5" max="6" width="8.7109375" customWidth="1"/>
    <col min="7" max="7" width="4.7109375" customWidth="1"/>
    <col min="8" max="9" width="8.7109375" customWidth="1"/>
    <col min="10" max="10" width="4.7109375" customWidth="1"/>
    <col min="11" max="12" width="8.7109375" customWidth="1"/>
    <col min="13" max="13" width="4.7109375" customWidth="1"/>
    <col min="14" max="15" width="8.7109375" customWidth="1"/>
    <col min="16" max="16" width="4.7109375" customWidth="1"/>
    <col min="17" max="18" width="8.7109375" customWidth="1"/>
    <col min="19" max="19" width="4.7109375" customWidth="1"/>
    <col min="21" max="23" width="12.7109375" customWidth="1"/>
  </cols>
  <sheetData>
    <row r="1" spans="1:5">
      <c r="A1" s="1" t="s">
        <v>84</v>
      </c>
    </row>
    <row r="3" spans="1:5">
      <c r="B3" s="3" t="s">
        <v>85</v>
      </c>
    </row>
    <row r="4" spans="1:5">
      <c r="B4" s="10" t="s">
        <v>86</v>
      </c>
      <c r="C4" s="10" t="s">
        <v>87</v>
      </c>
      <c r="E4" s="4" t="s">
        <v>88</v>
      </c>
    </row>
    <row r="5" spans="1:5">
      <c r="B5" s="10" t="s">
        <v>89</v>
      </c>
      <c r="C5" s="10" t="s">
        <v>90</v>
      </c>
      <c r="E5" s="4" t="s">
        <v>91</v>
      </c>
    </row>
    <row r="6" spans="1:5">
      <c r="B6" s="10" t="s">
        <v>92</v>
      </c>
      <c r="C6" s="10" t="s">
        <v>93</v>
      </c>
      <c r="E6" s="4" t="s">
        <v>94</v>
      </c>
    </row>
    <row r="7" spans="1:5">
      <c r="B7" s="10" t="s">
        <v>95</v>
      </c>
      <c r="C7" s="10"/>
      <c r="E7" s="4" t="s">
        <v>95</v>
      </c>
    </row>
    <row r="9" spans="1:5">
      <c r="B9" s="2" t="s">
        <v>96</v>
      </c>
    </row>
    <row r="36" spans="2:23">
      <c r="B36" s="3" t="s">
        <v>97</v>
      </c>
      <c r="U36" s="3" t="s">
        <v>98</v>
      </c>
    </row>
    <row r="37" spans="2:23">
      <c r="B37" s="10" t="s">
        <v>10</v>
      </c>
      <c r="C37" s="8">
        <f>'CPM'!$D$6</f>
        <v>3</v>
      </c>
      <c r="E37" s="10" t="s">
        <v>15</v>
      </c>
      <c r="F37" s="8">
        <f>'CPM'!$D$7</f>
        <v>3</v>
      </c>
      <c r="H37" s="10" t="s">
        <v>16</v>
      </c>
      <c r="I37" s="8">
        <f>'CPM'!$D$8</f>
        <v>5</v>
      </c>
      <c r="K37" s="10" t="s">
        <v>19</v>
      </c>
      <c r="L37" s="8">
        <f>'CPM'!$D$11</f>
        <v>6</v>
      </c>
      <c r="N37" s="10" t="s">
        <v>21</v>
      </c>
      <c r="O37" s="8">
        <f>'CPM'!$D$12</f>
        <v>5</v>
      </c>
      <c r="Q37" s="10" t="s">
        <v>24</v>
      </c>
      <c r="R37" s="8">
        <f>'CPM'!$D$14</f>
        <v>3</v>
      </c>
      <c r="U37" s="5" t="s">
        <v>99</v>
      </c>
      <c r="V37" s="5" t="s">
        <v>100</v>
      </c>
      <c r="W37" s="5" t="s">
        <v>101</v>
      </c>
    </row>
    <row r="38" spans="2:23">
      <c r="B38" s="8">
        <f>'CPM'!$E$6</f>
        <v>0</v>
      </c>
      <c r="C38" s="8">
        <f>'CPM'!$F$6</f>
        <v>3</v>
      </c>
      <c r="E38" s="8">
        <f>'CPM'!$E$7</f>
        <v>3</v>
      </c>
      <c r="F38" s="8">
        <f>'CPM'!$F$7</f>
        <v>6</v>
      </c>
      <c r="H38" s="8">
        <f>'CPM'!$E$8</f>
        <v>6</v>
      </c>
      <c r="I38" s="8">
        <f>'CPM'!$F$8</f>
        <v>11</v>
      </c>
      <c r="K38" s="8">
        <f>'CPM'!$E$11</f>
        <v>11</v>
      </c>
      <c r="L38" s="8">
        <f>'CPM'!$F$11</f>
        <v>17</v>
      </c>
      <c r="N38" s="8">
        <f>'CPM'!$E$12</f>
        <v>17</v>
      </c>
      <c r="O38" s="8">
        <f>'CPM'!$F$12</f>
        <v>22</v>
      </c>
      <c r="Q38" s="8">
        <f>'CPM'!$E$14</f>
        <v>22</v>
      </c>
      <c r="R38" s="8">
        <f>'CPM'!$F$14</f>
        <v>25</v>
      </c>
      <c r="U38" s="6" t="s">
        <v>10</v>
      </c>
      <c r="V38" s="6" t="s">
        <v>15</v>
      </c>
      <c r="W38" s="6" t="s">
        <v>13</v>
      </c>
    </row>
    <row r="39" spans="2:23">
      <c r="B39" s="8">
        <f>'CPM'!$G$6</f>
        <v>0</v>
      </c>
      <c r="C39" s="8">
        <f>'CPM'!$H$6</f>
        <v>3</v>
      </c>
      <c r="E39" s="8">
        <f>'CPM'!$G$7</f>
        <v>4</v>
      </c>
      <c r="F39" s="8">
        <f>'CPM'!$H$7</f>
        <v>7</v>
      </c>
      <c r="H39" s="8">
        <f>'CPM'!$G$8</f>
        <v>12</v>
      </c>
      <c r="I39" s="8">
        <f>'CPM'!$H$8</f>
        <v>17</v>
      </c>
      <c r="K39" s="8">
        <f>'CPM'!$G$11</f>
        <v>11</v>
      </c>
      <c r="L39" s="8">
        <f>'CPM'!$H$11</f>
        <v>17</v>
      </c>
      <c r="N39" s="8">
        <f>'CPM'!$G$12</f>
        <v>17</v>
      </c>
      <c r="O39" s="8">
        <f>'CPM'!$H$12</f>
        <v>22</v>
      </c>
      <c r="Q39" s="8">
        <f>'CPM'!$G$14</f>
        <v>22</v>
      </c>
      <c r="R39" s="8">
        <f>'CPM'!$H$14</f>
        <v>25</v>
      </c>
      <c r="U39" s="6" t="s">
        <v>15</v>
      </c>
      <c r="V39" s="6" t="s">
        <v>16</v>
      </c>
      <c r="W39" s="6" t="s">
        <v>13</v>
      </c>
    </row>
    <row r="40" spans="2:23">
      <c r="B40" s="8">
        <f>'CPM'!$I$6</f>
        <v>0</v>
      </c>
      <c r="C40" s="8"/>
      <c r="E40" s="8">
        <f>'CPM'!$I$7</f>
        <v>1</v>
      </c>
      <c r="F40" s="8"/>
      <c r="H40" s="8">
        <f>'CPM'!$I$8</f>
        <v>6</v>
      </c>
      <c r="I40" s="8"/>
      <c r="K40" s="8">
        <f>'CPM'!$I$11</f>
        <v>0</v>
      </c>
      <c r="L40" s="8"/>
      <c r="N40" s="8">
        <f>'CPM'!$I$12</f>
        <v>0</v>
      </c>
      <c r="O40" s="8"/>
      <c r="Q40" s="8">
        <f>'CPM'!$I$14</f>
        <v>0</v>
      </c>
      <c r="R40" s="8"/>
      <c r="U40" s="6" t="s">
        <v>15</v>
      </c>
      <c r="V40" s="6" t="s">
        <v>17</v>
      </c>
      <c r="W40" s="6" t="s">
        <v>13</v>
      </c>
    </row>
    <row r="41" spans="2:23">
      <c r="U41" s="6" t="s">
        <v>10</v>
      </c>
      <c r="V41" s="6" t="s">
        <v>18</v>
      </c>
      <c r="W41" s="6" t="s">
        <v>102</v>
      </c>
    </row>
    <row r="42" spans="2:23">
      <c r="E42" s="10" t="s">
        <v>18</v>
      </c>
      <c r="F42" s="8">
        <f>'CPM'!$D$10</f>
        <v>8</v>
      </c>
      <c r="H42" s="10" t="s">
        <v>17</v>
      </c>
      <c r="I42" s="8">
        <f>'CPM'!$D$9</f>
        <v>4</v>
      </c>
      <c r="U42" s="6" t="s">
        <v>17</v>
      </c>
      <c r="V42" s="6" t="s">
        <v>19</v>
      </c>
      <c r="W42" s="6" t="s">
        <v>13</v>
      </c>
    </row>
    <row r="43" spans="2:23">
      <c r="E43" s="8">
        <f>'CPM'!$E$10</f>
        <v>3</v>
      </c>
      <c r="F43" s="8">
        <f>'CPM'!$F$10</f>
        <v>11</v>
      </c>
      <c r="H43" s="8">
        <f>'CPM'!$E$9</f>
        <v>6</v>
      </c>
      <c r="I43" s="8">
        <f>'CPM'!$F$9</f>
        <v>10</v>
      </c>
      <c r="U43" s="6" t="s">
        <v>18</v>
      </c>
      <c r="V43" s="6" t="s">
        <v>19</v>
      </c>
      <c r="W43" s="6" t="s">
        <v>102</v>
      </c>
    </row>
    <row r="44" spans="2:23">
      <c r="E44" s="8">
        <f>'CPM'!$G$10</f>
        <v>3</v>
      </c>
      <c r="F44" s="8">
        <f>'CPM'!$H$10</f>
        <v>11</v>
      </c>
      <c r="H44" s="8">
        <f>'CPM'!$G$9</f>
        <v>7</v>
      </c>
      <c r="I44" s="8">
        <f>'CPM'!$H$9</f>
        <v>11</v>
      </c>
      <c r="U44" s="6" t="s">
        <v>16</v>
      </c>
      <c r="V44" s="6" t="s">
        <v>21</v>
      </c>
      <c r="W44" s="6" t="s">
        <v>13</v>
      </c>
    </row>
    <row r="45" spans="2:23">
      <c r="E45" s="8">
        <f>'CPM'!$I$10</f>
        <v>0</v>
      </c>
      <c r="F45" s="8"/>
      <c r="H45" s="8">
        <f>'CPM'!$I$9</f>
        <v>1</v>
      </c>
      <c r="I45" s="8"/>
      <c r="U45" s="6" t="s">
        <v>19</v>
      </c>
      <c r="V45" s="6" t="s">
        <v>21</v>
      </c>
      <c r="W45" s="6" t="s">
        <v>102</v>
      </c>
    </row>
    <row r="46" spans="2:23">
      <c r="U46" s="6" t="s">
        <v>18</v>
      </c>
      <c r="V46" s="6" t="s">
        <v>23</v>
      </c>
      <c r="W46" s="6" t="s">
        <v>13</v>
      </c>
    </row>
    <row r="47" spans="2:23">
      <c r="H47" s="10" t="s">
        <v>23</v>
      </c>
      <c r="I47" s="8">
        <f>'CPM'!$D$13</f>
        <v>9</v>
      </c>
      <c r="U47" s="6" t="s">
        <v>21</v>
      </c>
      <c r="V47" s="6" t="s">
        <v>24</v>
      </c>
      <c r="W47" s="6" t="s">
        <v>102</v>
      </c>
    </row>
    <row r="48" spans="2:23">
      <c r="H48" s="8">
        <f>'CPM'!$E$13</f>
        <v>11</v>
      </c>
      <c r="I48" s="8">
        <f>'CPM'!$F$13</f>
        <v>20</v>
      </c>
      <c r="U48" s="6" t="s">
        <v>23</v>
      </c>
      <c r="V48" s="6" t="s">
        <v>24</v>
      </c>
      <c r="W48" s="6" t="s">
        <v>13</v>
      </c>
    </row>
    <row r="49" spans="8:9">
      <c r="H49" s="8">
        <f>'CPM'!$G$13</f>
        <v>13</v>
      </c>
      <c r="I49" s="8">
        <f>'CPM'!$H$13</f>
        <v>22</v>
      </c>
    </row>
    <row r="50" spans="8:9">
      <c r="H50" s="8">
        <f>'CPM'!$I$13</f>
        <v>2</v>
      </c>
      <c r="I50" s="8"/>
    </row>
  </sheetData>
  <mergeCells count="10">
    <mergeCell ref="B7:C7"/>
    <mergeCell ref="B40:C40"/>
    <mergeCell ref="E40:F40"/>
    <mergeCell ref="E45:F45"/>
    <mergeCell ref="H40:I40"/>
    <mergeCell ref="H45:I45"/>
    <mergeCell ref="H50:I50"/>
    <mergeCell ref="K40:L40"/>
    <mergeCell ref="N40:O40"/>
    <mergeCell ref="Q40:R40"/>
  </mergeCells>
  <conditionalFormatting sqref="B37:C40">
    <cfRule type="expression" dxfId="0" priority="1">
      <formula>ABS($B$40)&lt;0.000000001</formula>
    </cfRule>
  </conditionalFormatting>
  <conditionalFormatting sqref="E37:F40">
    <cfRule type="expression" dxfId="0" priority="2">
      <formula>ABS($E$40)&lt;0.000000001</formula>
    </cfRule>
  </conditionalFormatting>
  <conditionalFormatting sqref="E42:F45">
    <cfRule type="expression" dxfId="0" priority="3">
      <formula>ABS($E$45)&lt;0.000000001</formula>
    </cfRule>
  </conditionalFormatting>
  <conditionalFormatting sqref="H37:I40">
    <cfRule type="expression" dxfId="0" priority="4">
      <formula>ABS($H$40)&lt;0.000000001</formula>
    </cfRule>
  </conditionalFormatting>
  <conditionalFormatting sqref="H42:I45">
    <cfRule type="expression" dxfId="0" priority="5">
      <formula>ABS($H$45)&lt;0.000000001</formula>
    </cfRule>
  </conditionalFormatting>
  <conditionalFormatting sqref="H47:I50">
    <cfRule type="expression" dxfId="0" priority="6">
      <formula>ABS($H$50)&lt;0.000000001</formula>
    </cfRule>
  </conditionalFormatting>
  <conditionalFormatting sqref="K37:L40">
    <cfRule type="expression" dxfId="0" priority="7">
      <formula>ABS($K$40)&lt;0.000000001</formula>
    </cfRule>
  </conditionalFormatting>
  <conditionalFormatting sqref="N37:O40">
    <cfRule type="expression" dxfId="0" priority="8">
      <formula>ABS($N$40)&lt;0.000000001</formula>
    </cfRule>
  </conditionalFormatting>
  <conditionalFormatting sqref="Q37:R40">
    <cfRule type="expression" dxfId="0" priority="9">
      <formula>ABS($Q$40)&lt;0.000000001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cols>
    <col min="1" max="1" width="12.7109375" customWidth="1"/>
    <col min="2" max="9" width="14.7109375" customWidth="1"/>
    <col min="10" max="10" width="40.7109375" customWidth="1"/>
  </cols>
  <sheetData>
    <row r="1" spans="1:10">
      <c r="A1" s="1" t="s">
        <v>103</v>
      </c>
    </row>
    <row r="3" spans="1:10">
      <c r="A3" s="3" t="s">
        <v>104</v>
      </c>
    </row>
    <row r="4" spans="1:10">
      <c r="A4" s="4" t="s">
        <v>66</v>
      </c>
      <c r="C4" s="8">
        <f>'CPM'!$D$2</f>
        <v>25</v>
      </c>
    </row>
    <row r="5" spans="1:10">
      <c r="A5" s="4" t="s">
        <v>105</v>
      </c>
      <c r="C5" s="9">
        <f>'PERT'!$F$17</f>
        <v>1.5555555555555556</v>
      </c>
    </row>
    <row r="6" spans="1:10">
      <c r="A6" s="4" t="s">
        <v>106</v>
      </c>
      <c r="C6" s="9">
        <f>SQRT(C5)</f>
        <v>1.247219128924647</v>
      </c>
    </row>
    <row r="7" spans="1:10">
      <c r="A7" s="3" t="s">
        <v>107</v>
      </c>
    </row>
    <row r="8" spans="1:10">
      <c r="A8" s="2" t="s">
        <v>108</v>
      </c>
    </row>
    <row r="10" spans="1:10">
      <c r="A10" s="5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114</v>
      </c>
      <c r="G10" s="5" t="s">
        <v>115</v>
      </c>
      <c r="H10" s="5" t="s">
        <v>116</v>
      </c>
      <c r="I10" s="5" t="s">
        <v>117</v>
      </c>
      <c r="J10" s="5" t="s">
        <v>118</v>
      </c>
    </row>
    <row r="11" spans="1:10">
      <c r="A11" s="7" t="s">
        <v>119</v>
      </c>
      <c r="B11" s="7" t="s">
        <v>120</v>
      </c>
      <c r="C11" s="8">
        <v>27</v>
      </c>
      <c r="D11" s="9">
        <f>(C11-$C$4)/$C$6</f>
        <v>1.6035674514745464</v>
      </c>
      <c r="E11" s="9">
        <f>NORMSDIST(D11)</f>
        <v>0.9455952849797271</v>
      </c>
      <c r="F11" s="9">
        <f>ROUND(D11,2)</f>
        <v>1.6</v>
      </c>
      <c r="G11" s="9">
        <f>ROUND(NORMSDIST(F11),4)</f>
        <v>0.9452</v>
      </c>
      <c r="H11" s="9">
        <f>E11</f>
        <v>0.9455952849797271</v>
      </c>
      <c r="I11" s="9">
        <f>G11</f>
        <v>0.9452</v>
      </c>
      <c r="J11" s="6" t="s">
        <v>121</v>
      </c>
    </row>
    <row r="12" spans="1:10">
      <c r="A12" s="7" t="s">
        <v>122</v>
      </c>
      <c r="B12" s="7" t="s">
        <v>123</v>
      </c>
      <c r="C12" s="8">
        <v>25</v>
      </c>
      <c r="D12" s="8">
        <f>(C12-$C$4)/$C$6</f>
        <v>0.0</v>
      </c>
      <c r="E12" s="9">
        <f>NORMSDIST(D12)</f>
        <v>0.5</v>
      </c>
      <c r="F12" s="8">
        <f>ROUND(D12,2)</f>
        <v>0.0</v>
      </c>
      <c r="G12" s="9">
        <f>ROUND(NORMSDIST(F12),4)</f>
        <v>0.5</v>
      </c>
      <c r="H12" s="9">
        <f>E12</f>
        <v>0.5</v>
      </c>
      <c r="I12" s="9">
        <f>G12</f>
        <v>0.5</v>
      </c>
      <c r="J12" s="6" t="s">
        <v>124</v>
      </c>
    </row>
    <row r="13" spans="1:10">
      <c r="A13" s="7" t="s">
        <v>125</v>
      </c>
      <c r="B13" s="7" t="s">
        <v>126</v>
      </c>
      <c r="C13" s="8">
        <v>23</v>
      </c>
      <c r="D13" s="9">
        <f>(C13-$C$4)/$C$6</f>
        <v>-1.6035674514745464</v>
      </c>
      <c r="E13" s="9">
        <f>NORMSDIST(D13)</f>
        <v>0.054404715020272845</v>
      </c>
      <c r="F13" s="9">
        <f>ROUND(D13,2)</f>
        <v>-1.6</v>
      </c>
      <c r="G13" s="9">
        <f>ROUND(NORMSDIST(F13),4)</f>
        <v>0.0548</v>
      </c>
      <c r="H13" s="9">
        <f>E13</f>
        <v>0.054404715020272845</v>
      </c>
      <c r="I13" s="9">
        <f>G13</f>
        <v>0.0548</v>
      </c>
      <c r="J13" s="6" t="s">
        <v>127</v>
      </c>
    </row>
    <row r="14" spans="1:10">
      <c r="A14" s="7" t="s">
        <v>128</v>
      </c>
      <c r="B14" s="7" t="s">
        <v>129</v>
      </c>
      <c r="C14" s="8">
        <v>27</v>
      </c>
      <c r="D14" s="9">
        <f>(C14-$C$4)/$C$6</f>
        <v>1.6035674514745464</v>
      </c>
      <c r="E14" s="9">
        <f>NORMSDIST(D14)</f>
        <v>0.9455952849797271</v>
      </c>
      <c r="F14" s="9">
        <f>ROUND(D14,2)</f>
        <v>1.6</v>
      </c>
      <c r="G14" s="9">
        <f>ROUND(NORMSDIST(F14),4)</f>
        <v>0.9452</v>
      </c>
      <c r="H14" s="9">
        <f>1-E14</f>
        <v>0.05440471502027289</v>
      </c>
      <c r="I14" s="9">
        <f>ROUND(1-G14,4)</f>
        <v>0.0548</v>
      </c>
      <c r="J14" s="6" t="s">
        <v>130</v>
      </c>
    </row>
    <row r="15" spans="1:10">
      <c r="A15" s="7" t="s">
        <v>131</v>
      </c>
      <c r="B15" s="7" t="s">
        <v>132</v>
      </c>
      <c r="C15" s="8">
        <v>27</v>
      </c>
      <c r="D15" s="9">
        <f>(C15-$C$4)/$C$6</f>
        <v>1.6035674514745464</v>
      </c>
      <c r="E15" s="9">
        <f>NORMSDIST(D15)</f>
        <v>0.9455952849797271</v>
      </c>
      <c r="F15" s="9">
        <f>ROUND(D15,2)</f>
        <v>1.6</v>
      </c>
      <c r="G15" s="9">
        <f>ROUND(NORMSDIST(F15),4)</f>
        <v>0.9452</v>
      </c>
      <c r="H15" s="9">
        <f>E15-E16</f>
        <v>0.4455952849797271</v>
      </c>
      <c r="I15" s="9">
        <f>ROUND(G15-G16,4)</f>
        <v>0.4452</v>
      </c>
      <c r="J15" s="6" t="s">
        <v>133</v>
      </c>
    </row>
    <row r="16" spans="1:10">
      <c r="A16" s="7" t="s">
        <v>131</v>
      </c>
      <c r="B16" s="7" t="s">
        <v>132</v>
      </c>
      <c r="C16" s="8">
        <v>25</v>
      </c>
      <c r="D16" s="8">
        <f>(C16-$C$4)/$C$6</f>
        <v>0.0</v>
      </c>
      <c r="E16" s="9">
        <f>NORMSDIST(D16)</f>
        <v>0.5</v>
      </c>
      <c r="F16" s="8">
        <f>ROUND(D16,2)</f>
        <v>0.0</v>
      </c>
      <c r="G16" s="9">
        <f>ROUND(NORMSDIST(F16),4)</f>
        <v>0.5</v>
      </c>
    </row>
    <row r="18" spans="1:9">
      <c r="A18" s="3" t="s">
        <v>134</v>
      </c>
    </row>
    <row r="19" spans="1:9">
      <c r="A19" s="5" t="s">
        <v>109</v>
      </c>
      <c r="B19" s="5" t="s">
        <v>135</v>
      </c>
      <c r="C19" s="5" t="s">
        <v>112</v>
      </c>
      <c r="D19" s="5" t="s">
        <v>136</v>
      </c>
      <c r="E19" s="5" t="s">
        <v>114</v>
      </c>
      <c r="F19" s="5" t="s">
        <v>115</v>
      </c>
      <c r="G19" s="5" t="s">
        <v>137</v>
      </c>
      <c r="H19" s="5" t="s">
        <v>138</v>
      </c>
      <c r="I19" s="5" t="s">
        <v>118</v>
      </c>
    </row>
    <row r="20" spans="1:9">
      <c r="A20" s="7" t="s">
        <v>139</v>
      </c>
      <c r="B20" s="9">
        <v>0.9</v>
      </c>
      <c r="C20" s="9">
        <f>NORMSINV(B20)</f>
        <v>1.281551565544601</v>
      </c>
      <c r="D20" s="9">
        <f>$C$4+C20*$C$6</f>
        <v>26.598375627250554</v>
      </c>
      <c r="E20" s="9">
        <v>1.29</v>
      </c>
      <c r="F20" s="9">
        <f>ROUND(NORMSDIST(E20),4)</f>
        <v>0.9015</v>
      </c>
      <c r="G20" s="9">
        <f>$C$4+E20*$C$6</f>
        <v>26.608912676312794</v>
      </c>
      <c r="H20" s="8">
        <f>ROUNDUP(ROUND(G20,9),0)</f>
        <v>27</v>
      </c>
      <c r="I20" s="6" t="s">
        <v>140</v>
      </c>
    </row>
    <row r="21" spans="1:9">
      <c r="A21" s="2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26.7109375" customWidth="1"/>
    <col min="2" max="2" width="40.7109375" customWidth="1"/>
    <col min="3" max="3" width="90.7109375" customWidth="1"/>
    <col min="4" max="4" width="22.7109375" customWidth="1"/>
  </cols>
  <sheetData>
    <row r="1" spans="1:4">
      <c r="A1" s="1" t="s">
        <v>142</v>
      </c>
    </row>
    <row r="2" spans="1:4">
      <c r="A2" s="2" t="s">
        <v>143</v>
      </c>
    </row>
    <row r="4" spans="1:4">
      <c r="A4" s="5" t="s">
        <v>144</v>
      </c>
      <c r="B4" s="5" t="s">
        <v>109</v>
      </c>
      <c r="C4" s="5" t="s">
        <v>145</v>
      </c>
      <c r="D4" s="5" t="s">
        <v>146</v>
      </c>
    </row>
    <row r="5" spans="1:4" ht="30" customHeight="1">
      <c r="A5" s="7" t="s">
        <v>28</v>
      </c>
      <c r="B5" s="6" t="s">
        <v>147</v>
      </c>
      <c r="C5" s="6" t="s">
        <v>148</v>
      </c>
      <c r="D5" s="7"/>
    </row>
    <row r="6" spans="1:4" ht="52" customHeight="1">
      <c r="A6" s="7" t="s">
        <v>30</v>
      </c>
      <c r="B6" s="6" t="s">
        <v>149</v>
      </c>
      <c r="C6" s="6" t="s">
        <v>150</v>
      </c>
      <c r="D6" s="7"/>
    </row>
    <row r="7" spans="1:4" ht="91" customHeight="1">
      <c r="A7" s="7" t="s">
        <v>151</v>
      </c>
      <c r="B7" s="6" t="s">
        <v>152</v>
      </c>
      <c r="C7" s="6" t="s">
        <v>153</v>
      </c>
      <c r="D7" s="7"/>
    </row>
    <row r="8" spans="1:4" ht="39" customHeight="1">
      <c r="A8" s="7" t="s">
        <v>154</v>
      </c>
      <c r="B8" s="6" t="s">
        <v>155</v>
      </c>
      <c r="C8" s="6" t="s">
        <v>156</v>
      </c>
      <c r="D8" s="7" t="str">
        <f>'CPM'!$D$3</f>
        <v>A – E – F – G – I</v>
      </c>
    </row>
    <row r="9" spans="1:4" ht="65" customHeight="1">
      <c r="A9" s="7" t="s">
        <v>157</v>
      </c>
      <c r="B9" s="6" t="s">
        <v>158</v>
      </c>
      <c r="C9" s="6" t="s">
        <v>159</v>
      </c>
      <c r="D9" s="9">
        <f>'Probabilidad'!$I$11</f>
        <v>0.9452</v>
      </c>
    </row>
    <row r="10" spans="1:4" ht="39" customHeight="1">
      <c r="A10" s="7" t="s">
        <v>139</v>
      </c>
      <c r="B10" s="6" t="s">
        <v>160</v>
      </c>
      <c r="C10" s="6" t="s">
        <v>161</v>
      </c>
      <c r="D10" s="8">
        <f>'Probabilidad'!$H$20</f>
        <v>27</v>
      </c>
    </row>
    <row r="12" spans="1:4">
      <c r="A12" s="3" t="s">
        <v>162</v>
      </c>
    </row>
    <row r="13" spans="1:4">
      <c r="A13" s="5" t="s">
        <v>9</v>
      </c>
      <c r="B13" s="5" t="s">
        <v>163</v>
      </c>
      <c r="C13" s="5" t="s">
        <v>164</v>
      </c>
    </row>
    <row r="14" spans="1:4">
      <c r="A14" s="6" t="s">
        <v>165</v>
      </c>
      <c r="B14" s="8">
        <v>9</v>
      </c>
      <c r="C14" s="6" t="s">
        <v>11</v>
      </c>
    </row>
    <row r="15" spans="1:4">
      <c r="A15" s="6" t="s">
        <v>166</v>
      </c>
      <c r="B15" s="8">
        <v>0</v>
      </c>
      <c r="C15" s="6" t="s">
        <v>167</v>
      </c>
    </row>
    <row r="17" spans="1:4">
      <c r="A17" s="3" t="s">
        <v>168</v>
      </c>
    </row>
    <row r="18" spans="1:4">
      <c r="A18" s="5" t="s">
        <v>164</v>
      </c>
      <c r="B18" s="5" t="s">
        <v>169</v>
      </c>
      <c r="C18" s="5" t="s">
        <v>170</v>
      </c>
      <c r="D18" s="5" t="s">
        <v>9</v>
      </c>
    </row>
    <row r="19" spans="1:4">
      <c r="A19" s="6" t="s">
        <v>171</v>
      </c>
      <c r="B19" s="6" t="s">
        <v>172</v>
      </c>
      <c r="C19" s="6" t="s">
        <v>173</v>
      </c>
      <c r="D19" s="6" t="s">
        <v>166</v>
      </c>
    </row>
    <row r="20" spans="1:4">
      <c r="A20" s="6" t="s">
        <v>171</v>
      </c>
      <c r="B20" s="6" t="s">
        <v>174</v>
      </c>
      <c r="C20" s="6" t="s">
        <v>175</v>
      </c>
      <c r="D20" s="6" t="s">
        <v>166</v>
      </c>
    </row>
    <row r="21" spans="1:4">
      <c r="A21" s="6" t="s">
        <v>171</v>
      </c>
      <c r="B21" s="6" t="s">
        <v>176</v>
      </c>
      <c r="C21" s="6" t="s">
        <v>177</v>
      </c>
      <c r="D21" s="6" t="s">
        <v>166</v>
      </c>
    </row>
    <row r="22" spans="1:4">
      <c r="A22" s="6" t="s">
        <v>171</v>
      </c>
      <c r="B22" s="6" t="s">
        <v>178</v>
      </c>
      <c r="C22" s="6" t="s">
        <v>177</v>
      </c>
      <c r="D22" s="6" t="s">
        <v>166</v>
      </c>
    </row>
    <row r="23" spans="1:4">
      <c r="A23" s="6" t="s">
        <v>171</v>
      </c>
      <c r="B23" s="6" t="s">
        <v>179</v>
      </c>
      <c r="C23" s="6" t="s">
        <v>180</v>
      </c>
      <c r="D23" s="6" t="s">
        <v>166</v>
      </c>
    </row>
    <row r="24" spans="1:4">
      <c r="A24" s="6" t="s">
        <v>171</v>
      </c>
      <c r="B24" s="6" t="s">
        <v>181</v>
      </c>
      <c r="C24" s="6" t="s">
        <v>180</v>
      </c>
      <c r="D24" s="6" t="s">
        <v>166</v>
      </c>
    </row>
    <row r="25" spans="1:4">
      <c r="A25" s="6" t="s">
        <v>171</v>
      </c>
      <c r="B25" s="6" t="s">
        <v>182</v>
      </c>
      <c r="C25" s="6" t="s">
        <v>180</v>
      </c>
      <c r="D25" s="6" t="s">
        <v>166</v>
      </c>
    </row>
    <row r="26" spans="1:4">
      <c r="A26" s="6" t="s">
        <v>171</v>
      </c>
      <c r="B26" s="6" t="s">
        <v>183</v>
      </c>
      <c r="C26" s="6" t="s">
        <v>184</v>
      </c>
      <c r="D26" s="6" t="s">
        <v>166</v>
      </c>
    </row>
    <row r="27" spans="1:4">
      <c r="A27" s="6" t="s">
        <v>171</v>
      </c>
      <c r="B27" s="6" t="s">
        <v>185</v>
      </c>
      <c r="C27" s="6" t="s">
        <v>186</v>
      </c>
      <c r="D27" s="6" t="s">
        <v>166</v>
      </c>
    </row>
    <row r="28" spans="1:4">
      <c r="A28" s="6" t="s">
        <v>187</v>
      </c>
      <c r="B28" s="6" t="s">
        <v>188</v>
      </c>
      <c r="C28" s="6" t="s">
        <v>189</v>
      </c>
      <c r="D28" s="6" t="s">
        <v>166</v>
      </c>
    </row>
    <row r="30" spans="1:4">
      <c r="A30" s="3" t="s">
        <v>190</v>
      </c>
    </row>
    <row r="31" spans="1:4">
      <c r="A31" s="5" t="s">
        <v>191</v>
      </c>
      <c r="B31" s="5" t="s">
        <v>192</v>
      </c>
      <c r="C31" s="5" t="s">
        <v>193</v>
      </c>
    </row>
    <row r="32" spans="1:4">
      <c r="A32" s="6" t="s">
        <v>194</v>
      </c>
      <c r="B32" s="6" t="s">
        <v>102</v>
      </c>
      <c r="C32" s="6" t="s">
        <v>195</v>
      </c>
    </row>
    <row r="33" spans="1:3">
      <c r="A33" s="6" t="s">
        <v>196</v>
      </c>
      <c r="B33" s="6" t="s">
        <v>102</v>
      </c>
      <c r="C33" s="6" t="s">
        <v>195</v>
      </c>
    </row>
    <row r="34" spans="1:3">
      <c r="A34" s="6" t="s">
        <v>197</v>
      </c>
      <c r="B34" s="6" t="s">
        <v>102</v>
      </c>
      <c r="C34" s="6" t="s">
        <v>195</v>
      </c>
    </row>
    <row r="35" spans="1:3">
      <c r="A35" s="6" t="s">
        <v>198</v>
      </c>
      <c r="B35" s="6" t="s">
        <v>102</v>
      </c>
      <c r="C35" s="6" t="s">
        <v>195</v>
      </c>
    </row>
    <row r="36" spans="1:3">
      <c r="A36" s="6" t="s">
        <v>199</v>
      </c>
      <c r="B36" s="6" t="s">
        <v>102</v>
      </c>
      <c r="C36" s="6" t="s">
        <v>195</v>
      </c>
    </row>
    <row r="37" spans="1:3">
      <c r="A37" s="6" t="s">
        <v>200</v>
      </c>
      <c r="B37" s="6" t="s">
        <v>102</v>
      </c>
      <c r="C37" s="6" t="s">
        <v>195</v>
      </c>
    </row>
    <row r="38" spans="1:3">
      <c r="A38" s="6" t="s">
        <v>201</v>
      </c>
      <c r="B38" s="6" t="s">
        <v>102</v>
      </c>
      <c r="C38" s="6" t="s">
        <v>195</v>
      </c>
    </row>
    <row r="39" spans="1:3">
      <c r="A39" s="6" t="s">
        <v>202</v>
      </c>
      <c r="B39" s="6" t="s">
        <v>102</v>
      </c>
      <c r="C39" s="6" t="s">
        <v>195</v>
      </c>
    </row>
    <row r="40" spans="1:3">
      <c r="A40" s="6" t="s">
        <v>203</v>
      </c>
      <c r="B40" s="6" t="s">
        <v>102</v>
      </c>
      <c r="C40" s="6" t="s">
        <v>195</v>
      </c>
    </row>
    <row r="41" spans="1:3">
      <c r="A41" s="6" t="s">
        <v>204</v>
      </c>
      <c r="B41" s="6" t="s">
        <v>102</v>
      </c>
      <c r="C41" s="6" t="s">
        <v>195</v>
      </c>
    </row>
    <row r="42" spans="1:3">
      <c r="A42" s="6" t="s">
        <v>205</v>
      </c>
      <c r="B42" s="6" t="s">
        <v>102</v>
      </c>
      <c r="C42" s="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Enunciado</vt:lpstr>
      <vt:lpstr>Datos</vt:lpstr>
      <vt:lpstr>PERT</vt:lpstr>
      <vt:lpstr>CPM</vt:lpstr>
      <vt:lpstr>Red AON</vt:lpstr>
      <vt:lpstr>Probabilidad</vt:lpstr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Ejemplo 4.2 — PERT probabilístico (material de referencia)</dc:title>
  <dc:creator/>
  <dc:description>Generated by pm-scheduling-mcp</dc:description>
  <cp:lastModifiedBy/>
  <dcterms:created xsi:type="dcterms:W3CDTF">2000-01-01T00:00:00Z</dcterms:created>
  <dcterms:modified xsi:type="dcterms:W3CDTF">2000-01-01T00:00:00Z</dcterms:modified>
</cp:coreProperties>
</file>